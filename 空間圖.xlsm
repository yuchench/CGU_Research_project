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date1904="1"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brian\Desktop\"/>
    </mc:Choice>
  </mc:AlternateContent>
  <bookViews>
    <workbookView xWindow="80" yWindow="0" windowWidth="36840" windowHeight="19580" tabRatio="500"/>
  </bookViews>
  <sheets>
    <sheet name="plot" sheetId="1" r:id="rId1"/>
  </sheets>
  <externalReferences>
    <externalReference r:id="rId2"/>
  </externalReferences>
  <definedNames>
    <definedName name="_xlnm._FilterDatabase" localSheetId="0" hidden="1">plot!$C$51:$C$53</definedName>
    <definedName name="firstLabel">plot!$B$33</definedName>
    <definedName name="firstZ">plot!$E$33</definedName>
    <definedName name="NrPoints">plot!$H$8</definedName>
  </definedNames>
  <calcPr calcId="162913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4" i="1" l="1"/>
  <c r="F44" i="1" l="1"/>
  <c r="E44" i="1"/>
  <c r="D44" i="1"/>
  <c r="F48" i="1" l="1"/>
  <c r="E34" i="1"/>
  <c r="C47" i="1"/>
  <c r="C48" i="1"/>
  <c r="D46" i="1"/>
  <c r="D48" i="1"/>
  <c r="E46" i="1"/>
  <c r="E47" i="1"/>
  <c r="E48" i="1"/>
  <c r="F46" i="1"/>
  <c r="E36" i="1"/>
  <c r="D36" i="1"/>
  <c r="C36" i="1"/>
  <c r="E35" i="1"/>
  <c r="D35" i="1"/>
  <c r="C34" i="1"/>
  <c r="J12" i="1"/>
  <c r="I11" i="1"/>
  <c r="H11" i="1"/>
  <c r="J11" i="1"/>
  <c r="H12" i="1"/>
  <c r="H18" i="1"/>
  <c r="I18" i="1"/>
  <c r="I12" i="1"/>
  <c r="J18" i="1"/>
  <c r="E27" i="1"/>
  <c r="C27" i="1"/>
  <c r="J27" i="1"/>
  <c r="D27" i="1"/>
  <c r="H27" i="1"/>
  <c r="I27" i="1"/>
  <c r="B38" i="1"/>
  <c r="B39" i="1"/>
  <c r="H14" i="1" l="1"/>
  <c r="I14" i="1"/>
  <c r="I13" i="1"/>
  <c r="H13" i="1"/>
  <c r="J13" i="1"/>
  <c r="J14" i="1"/>
  <c r="F47" i="1"/>
  <c r="C51" i="1" s="1" a="1"/>
  <c r="P28" i="1" l="1"/>
  <c r="O28" i="1"/>
  <c r="N10" i="1"/>
  <c r="O27" i="1"/>
  <c r="N15" i="1"/>
  <c r="N11" i="1"/>
  <c r="N13" i="1"/>
  <c r="O14" i="1"/>
  <c r="M26" i="1"/>
  <c r="M28" i="1"/>
  <c r="Q25" i="1"/>
  <c r="P24" i="1"/>
  <c r="N26" i="1"/>
  <c r="C52" i="1"/>
  <c r="D37" i="1" s="1"/>
  <c r="C51" i="1"/>
  <c r="C37" i="1" s="1"/>
  <c r="H16" i="1" s="1"/>
  <c r="Q27" i="1"/>
  <c r="R26" i="1"/>
  <c r="O11" i="1"/>
  <c r="Q24" i="1"/>
  <c r="Q26" i="1"/>
  <c r="N16" i="1"/>
  <c r="C53" i="1"/>
  <c r="E37" i="1" s="1"/>
  <c r="J16" i="1" s="1"/>
  <c r="N12" i="1"/>
  <c r="M24" i="1"/>
  <c r="N20" i="1"/>
  <c r="R28" i="1"/>
  <c r="P26" i="1"/>
  <c r="O10" i="1"/>
  <c r="O18" i="1"/>
  <c r="O19" i="1"/>
  <c r="R27" i="1"/>
  <c r="O16" i="1"/>
  <c r="O17" i="1"/>
  <c r="R24" i="1"/>
  <c r="O15" i="1"/>
  <c r="R25" i="1"/>
  <c r="N24" i="1"/>
  <c r="N28" i="1"/>
  <c r="O26" i="1"/>
  <c r="M27" i="1"/>
  <c r="O25" i="1"/>
  <c r="M25" i="1"/>
  <c r="O24" i="1"/>
  <c r="N17" i="1"/>
  <c r="Q28" i="1"/>
  <c r="N14" i="1"/>
  <c r="N18" i="1"/>
  <c r="N19" i="1"/>
  <c r="P25" i="1"/>
  <c r="P27" i="1"/>
  <c r="O12" i="1"/>
  <c r="N25" i="1"/>
  <c r="N27" i="1"/>
  <c r="O20" i="1"/>
  <c r="O13" i="1"/>
  <c r="H17" i="1" l="1"/>
  <c r="H35" i="1" s="1"/>
  <c r="I16" i="1"/>
  <c r="J17" i="1"/>
  <c r="J37" i="1" s="1"/>
  <c r="H37" i="1" l="1"/>
  <c r="O37" i="1" s="1"/>
  <c r="H38" i="1"/>
  <c r="H34" i="1"/>
  <c r="H36" i="1"/>
  <c r="H39" i="1"/>
  <c r="H20" i="1"/>
  <c r="H21" i="1" s="1"/>
  <c r="H22" i="1" s="1"/>
  <c r="I17" i="1"/>
  <c r="I33" i="1" s="1"/>
  <c r="H33" i="1"/>
  <c r="J20" i="1"/>
  <c r="J21" i="1" s="1"/>
  <c r="J34" i="1"/>
  <c r="J39" i="1"/>
  <c r="J36" i="1"/>
  <c r="J35" i="1"/>
  <c r="J33" i="1"/>
  <c r="J38" i="1"/>
  <c r="P37" i="1" l="1"/>
  <c r="I39" i="1"/>
  <c r="R39" i="1" s="1"/>
  <c r="I35" i="1"/>
  <c r="N35" i="1" s="1"/>
  <c r="I37" i="1"/>
  <c r="I36" i="1"/>
  <c r="Q36" i="1" s="1"/>
  <c r="H25" i="1"/>
  <c r="I38" i="1"/>
  <c r="L38" i="1" s="1"/>
  <c r="I20" i="1"/>
  <c r="I21" i="1" s="1"/>
  <c r="R33" i="1"/>
  <c r="H8" i="1" a="1"/>
  <c r="H8" i="1" s="1"/>
  <c r="Q33" i="1"/>
  <c r="I34" i="1"/>
  <c r="R34" i="1" s="1"/>
  <c r="H24" i="1"/>
  <c r="H23" i="1"/>
  <c r="P36" i="1"/>
  <c r="O36" i="1"/>
  <c r="O39" i="1"/>
  <c r="P39" i="1"/>
  <c r="P38" i="1"/>
  <c r="J22" i="1"/>
  <c r="J25" i="1"/>
  <c r="O35" i="1"/>
  <c r="P35" i="1"/>
  <c r="M33" i="1"/>
  <c r="N33" i="1"/>
  <c r="O33" i="1"/>
  <c r="L33" i="1"/>
  <c r="K33" i="1"/>
  <c r="P33" i="1"/>
  <c r="P34" i="1"/>
  <c r="O34" i="1"/>
  <c r="O38" i="1"/>
  <c r="N39" i="1" l="1"/>
  <c r="M39" i="1"/>
  <c r="M38" i="1"/>
  <c r="M35" i="1"/>
  <c r="K39" i="1"/>
  <c r="K35" i="1"/>
  <c r="K38" i="1"/>
  <c r="L39" i="1"/>
  <c r="G39" i="1" s="1"/>
  <c r="Q39" i="1"/>
  <c r="L35" i="1"/>
  <c r="N38" i="1"/>
  <c r="R36" i="1"/>
  <c r="L36" i="1"/>
  <c r="L34" i="1"/>
  <c r="G34" i="1" s="1"/>
  <c r="G33" i="1"/>
  <c r="K36" i="1"/>
  <c r="N36" i="1"/>
  <c r="M34" i="1"/>
  <c r="M36" i="1"/>
  <c r="M37" i="1"/>
  <c r="N37" i="1"/>
  <c r="K37" i="1"/>
  <c r="R37" i="1"/>
  <c r="Q37" i="1"/>
  <c r="L37" i="1"/>
  <c r="R38" i="1"/>
  <c r="G38" i="1" s="1"/>
  <c r="Q38" i="1"/>
  <c r="R35" i="1"/>
  <c r="Q35" i="1"/>
  <c r="Q34" i="1"/>
  <c r="I25" i="1"/>
  <c r="I22" i="1"/>
  <c r="K34" i="1"/>
  <c r="N34" i="1"/>
  <c r="V25" i="1"/>
  <c r="X25" i="1" s="1"/>
  <c r="V19" i="1"/>
  <c r="X19" i="1" s="1"/>
  <c r="V13" i="1"/>
  <c r="X13" i="1" s="1"/>
  <c r="V16" i="1"/>
  <c r="X16" i="1" s="1"/>
  <c r="V9" i="1"/>
  <c r="W9" i="1" s="1"/>
  <c r="V14" i="1"/>
  <c r="W14" i="1" s="1"/>
  <c r="V11" i="1"/>
  <c r="W11" i="1" s="1"/>
  <c r="V15" i="1"/>
  <c r="W15" i="1" s="1"/>
  <c r="V23" i="1"/>
  <c r="W23" i="1" s="1"/>
  <c r="V12" i="1"/>
  <c r="W12" i="1" s="1"/>
  <c r="V28" i="1"/>
  <c r="X28" i="1" s="1"/>
  <c r="V17" i="1"/>
  <c r="W17" i="1" s="1"/>
  <c r="V18" i="1"/>
  <c r="W18" i="1" s="1"/>
  <c r="V22" i="1"/>
  <c r="X22" i="1" s="1"/>
  <c r="V21" i="1"/>
  <c r="W21" i="1" s="1"/>
  <c r="V26" i="1"/>
  <c r="W26" i="1" s="1"/>
  <c r="V27" i="1"/>
  <c r="W27" i="1" s="1"/>
  <c r="V10" i="1"/>
  <c r="X10" i="1" s="1"/>
  <c r="V24" i="1"/>
  <c r="W24" i="1" s="1"/>
  <c r="V20" i="1"/>
  <c r="W20" i="1" s="1"/>
  <c r="V29" i="1"/>
  <c r="W29" i="1" s="1"/>
  <c r="J24" i="1"/>
  <c r="J23" i="1"/>
  <c r="W13" i="1" l="1"/>
  <c r="Y13" i="1" s="1"/>
  <c r="G35" i="1"/>
  <c r="W25" i="1"/>
  <c r="Y25" i="1" s="1"/>
  <c r="W28" i="1"/>
  <c r="Z28" i="1" s="1"/>
  <c r="G36" i="1"/>
  <c r="W16" i="1"/>
  <c r="Z16" i="1" s="1"/>
  <c r="W10" i="1"/>
  <c r="Z10" i="1" s="1"/>
  <c r="G37" i="1"/>
  <c r="I24" i="1"/>
  <c r="I23" i="1"/>
  <c r="Z12" i="1"/>
  <c r="Y12" i="1"/>
  <c r="Y14" i="1"/>
  <c r="Z14" i="1"/>
  <c r="Z20" i="1"/>
  <c r="Y20" i="1"/>
  <c r="Y26" i="1"/>
  <c r="Z26" i="1"/>
  <c r="Y18" i="1"/>
  <c r="Z18" i="1"/>
  <c r="Y27" i="1"/>
  <c r="Z27" i="1"/>
  <c r="W22" i="1"/>
  <c r="Z11" i="1"/>
  <c r="Y11" i="1"/>
  <c r="Y29" i="1"/>
  <c r="Z29" i="1"/>
  <c r="Z15" i="1"/>
  <c r="Y15" i="1"/>
  <c r="Y9" i="1"/>
  <c r="Z9" i="1"/>
  <c r="Y23" i="1"/>
  <c r="Z23" i="1"/>
  <c r="Y24" i="1"/>
  <c r="Z24" i="1"/>
  <c r="Z17" i="1"/>
  <c r="Y17" i="1"/>
  <c r="AF25" i="1"/>
  <c r="AH25" i="1" s="1"/>
  <c r="AF13" i="1"/>
  <c r="AH13" i="1" s="1"/>
  <c r="AF22" i="1"/>
  <c r="AH22" i="1" s="1"/>
  <c r="AF28" i="1"/>
  <c r="AH28" i="1" s="1"/>
  <c r="AF24" i="1"/>
  <c r="AG24" i="1" s="1"/>
  <c r="AF20" i="1"/>
  <c r="AG20" i="1" s="1"/>
  <c r="AF12" i="1"/>
  <c r="AG12" i="1" s="1"/>
  <c r="AF27" i="1"/>
  <c r="AG27" i="1" s="1"/>
  <c r="AF11" i="1"/>
  <c r="AG11" i="1" s="1"/>
  <c r="AF26" i="1"/>
  <c r="AG26" i="1" s="1"/>
  <c r="AF18" i="1"/>
  <c r="AG18" i="1" s="1"/>
  <c r="AF14" i="1"/>
  <c r="AG14" i="1" s="1"/>
  <c r="AF29" i="1"/>
  <c r="AG29" i="1" s="1"/>
  <c r="AF15" i="1"/>
  <c r="AG15" i="1" s="1"/>
  <c r="AF17" i="1"/>
  <c r="AG17" i="1" s="1"/>
  <c r="AF23" i="1"/>
  <c r="AG23" i="1" s="1"/>
  <c r="AF9" i="1"/>
  <c r="AG9" i="1" s="1"/>
  <c r="AF21" i="1"/>
  <c r="AG21" i="1" s="1"/>
  <c r="AF10" i="1"/>
  <c r="AH10" i="1" s="1"/>
  <c r="AF19" i="1"/>
  <c r="AH19" i="1" s="1"/>
  <c r="AF16" i="1"/>
  <c r="AH16" i="1" s="1"/>
  <c r="Z21" i="1"/>
  <c r="Y21" i="1"/>
  <c r="W19" i="1"/>
  <c r="Z13" i="1" l="1"/>
  <c r="Z25" i="1"/>
  <c r="Y28" i="1"/>
  <c r="Y16" i="1"/>
  <c r="Y10" i="1"/>
  <c r="AA19" i="1"/>
  <c r="AC19" i="1" s="1"/>
  <c r="AA29" i="1"/>
  <c r="AB29" i="1" s="1"/>
  <c r="AA11" i="1"/>
  <c r="AB11" i="1" s="1"/>
  <c r="AA15" i="1"/>
  <c r="AB15" i="1" s="1"/>
  <c r="AA23" i="1"/>
  <c r="AB23" i="1" s="1"/>
  <c r="AA22" i="1"/>
  <c r="AC22" i="1" s="1"/>
  <c r="AA13" i="1"/>
  <c r="AC13" i="1" s="1"/>
  <c r="AA25" i="1"/>
  <c r="AC25" i="1" s="1"/>
  <c r="AA10" i="1"/>
  <c r="AC10" i="1" s="1"/>
  <c r="AA28" i="1"/>
  <c r="AC28" i="1" s="1"/>
  <c r="AA20" i="1"/>
  <c r="AB20" i="1" s="1"/>
  <c r="AA21" i="1"/>
  <c r="AB21" i="1" s="1"/>
  <c r="AA18" i="1"/>
  <c r="AB18" i="1" s="1"/>
  <c r="AA16" i="1"/>
  <c r="AC16" i="1" s="1"/>
  <c r="AA9" i="1"/>
  <c r="AB9" i="1" s="1"/>
  <c r="AA26" i="1"/>
  <c r="AB26" i="1" s="1"/>
  <c r="AA27" i="1"/>
  <c r="AB27" i="1" s="1"/>
  <c r="AA14" i="1"/>
  <c r="AB14" i="1" s="1"/>
  <c r="AA24" i="1"/>
  <c r="AB24" i="1" s="1"/>
  <c r="AA12" i="1"/>
  <c r="AB12" i="1" s="1"/>
  <c r="AA17" i="1"/>
  <c r="AB17" i="1" s="1"/>
  <c r="AG19" i="1"/>
  <c r="AJ19" i="1" s="1"/>
  <c r="AG25" i="1"/>
  <c r="AI25" i="1" s="1"/>
  <c r="AJ15" i="1"/>
  <c r="AI15" i="1"/>
  <c r="AI12" i="1"/>
  <c r="AJ12" i="1"/>
  <c r="AI21" i="1"/>
  <c r="AJ21" i="1"/>
  <c r="AJ20" i="1"/>
  <c r="AI20" i="1"/>
  <c r="AI9" i="1"/>
  <c r="AJ9" i="1"/>
  <c r="AJ11" i="1"/>
  <c r="AI11" i="1"/>
  <c r="AJ24" i="1"/>
  <c r="AI24" i="1"/>
  <c r="AJ17" i="1"/>
  <c r="AI17" i="1"/>
  <c r="AJ18" i="1"/>
  <c r="AI18" i="1"/>
  <c r="AJ26" i="1"/>
  <c r="AI26" i="1"/>
  <c r="AI23" i="1"/>
  <c r="AJ23" i="1"/>
  <c r="AI14" i="1"/>
  <c r="AJ14" i="1"/>
  <c r="Y19" i="1"/>
  <c r="Z19" i="1"/>
  <c r="AJ29" i="1"/>
  <c r="AI29" i="1"/>
  <c r="AG13" i="1"/>
  <c r="AG16" i="1"/>
  <c r="Y22" i="1"/>
  <c r="Z22" i="1"/>
  <c r="AI27" i="1"/>
  <c r="AJ27" i="1"/>
  <c r="AG28" i="1"/>
  <c r="AG10" i="1"/>
  <c r="AG22" i="1"/>
  <c r="AI19" i="1" l="1"/>
  <c r="AB10" i="1"/>
  <c r="AD10" i="1" s="1"/>
  <c r="AB19" i="1"/>
  <c r="AD19" i="1" s="1"/>
  <c r="AB22" i="1"/>
  <c r="AE22" i="1" s="1"/>
  <c r="AB16" i="1"/>
  <c r="AD16" i="1" s="1"/>
  <c r="AJ25" i="1"/>
  <c r="AB13" i="1"/>
  <c r="AD13" i="1" s="1"/>
  <c r="AB25" i="1"/>
  <c r="AE25" i="1" s="1"/>
  <c r="AE11" i="1"/>
  <c r="AD11" i="1"/>
  <c r="AE24" i="1"/>
  <c r="AD24" i="1"/>
  <c r="AE9" i="1"/>
  <c r="AD9" i="1"/>
  <c r="AD27" i="1"/>
  <c r="AE27" i="1"/>
  <c r="AE12" i="1"/>
  <c r="AD12" i="1"/>
  <c r="AE18" i="1"/>
  <c r="AD18" i="1"/>
  <c r="AD21" i="1"/>
  <c r="AE21" i="1"/>
  <c r="AE20" i="1"/>
  <c r="AD20" i="1"/>
  <c r="AE16" i="1"/>
  <c r="AE15" i="1"/>
  <c r="AD15" i="1"/>
  <c r="AD26" i="1"/>
  <c r="AE26" i="1"/>
  <c r="AD29" i="1"/>
  <c r="AE29" i="1"/>
  <c r="AE14" i="1"/>
  <c r="AD14" i="1"/>
  <c r="AB28" i="1"/>
  <c r="AD17" i="1"/>
  <c r="AE17" i="1"/>
  <c r="AD23" i="1"/>
  <c r="AE23" i="1"/>
  <c r="AJ16" i="1"/>
  <c r="AI16" i="1"/>
  <c r="AJ28" i="1"/>
  <c r="AI28" i="1"/>
  <c r="AJ13" i="1"/>
  <c r="AI13" i="1"/>
  <c r="AI10" i="1"/>
  <c r="AJ10" i="1"/>
  <c r="AJ22" i="1"/>
  <c r="AI22" i="1"/>
  <c r="AE10" i="1" l="1"/>
  <c r="AE19" i="1"/>
  <c r="AE13" i="1"/>
  <c r="AD22" i="1"/>
  <c r="AD25" i="1"/>
  <c r="AD28" i="1"/>
  <c r="AE28" i="1"/>
</calcChain>
</file>

<file path=xl/sharedStrings.xml><?xml version="1.0" encoding="utf-8"?>
<sst xmlns="http://schemas.openxmlformats.org/spreadsheetml/2006/main" count="104" uniqueCount="100">
  <si>
    <t>z drop lines</t>
  </si>
  <si>
    <t>_xs_cpy</t>
  </si>
  <si>
    <t>_ys_cpy</t>
  </si>
  <si>
    <t>_xs_cpz</t>
  </si>
  <si>
    <t>_ys_cpz</t>
  </si>
  <si>
    <t xml:space="preserve"> &lt;- array formula!</t>
  </si>
  <si>
    <t>tick label z</t>
  </si>
  <si>
    <t xml:space="preserve">tmz z </t>
  </si>
  <si>
    <t>vectzc</t>
  </si>
  <si>
    <t>xs_cage</t>
  </si>
  <si>
    <t>ys_cage</t>
  </si>
  <si>
    <t>_tmz_y</t>
  </si>
  <si>
    <t>_tmz_x</t>
  </si>
  <si>
    <t>data normalisation</t>
  </si>
  <si>
    <t>data points</t>
  </si>
  <si>
    <t>cp normalised position</t>
  </si>
  <si>
    <t>cut plane frame</t>
  </si>
  <si>
    <t>cut plane x frame</t>
  </si>
  <si>
    <t>cut plane y frame</t>
  </si>
  <si>
    <t>cut plane z frame</t>
  </si>
  <si>
    <t>shift x</t>
  </si>
  <si>
    <t>shift y</t>
  </si>
  <si>
    <t>zoom</t>
  </si>
  <si>
    <t>4th dimension</t>
  </si>
  <si>
    <t>to-scale-ratios</t>
  </si>
  <si>
    <t>rotation matrix</t>
  </si>
  <si>
    <t>cut planes</t>
  </si>
  <si>
    <t>_xs_cpx</t>
  </si>
  <si>
    <t>cut plane x</t>
  </si>
  <si>
    <t>_ys_cpx</t>
  </si>
  <si>
    <t>cut plane z</t>
  </si>
  <si>
    <t>cut plane y</t>
  </si>
  <si>
    <t>plane 1</t>
  </si>
  <si>
    <t>plane 2</t>
  </si>
  <si>
    <t>labels</t>
  </si>
  <si>
    <t>x</t>
  </si>
  <si>
    <t>y</t>
  </si>
  <si>
    <t>z</t>
  </si>
  <si>
    <t>min</t>
  </si>
  <si>
    <t>range</t>
  </si>
  <si>
    <t>sin a</t>
  </si>
  <si>
    <t>cos a</t>
  </si>
  <si>
    <t>rot 1</t>
  </si>
  <si>
    <t>rot 2</t>
  </si>
  <si>
    <t>rotate x</t>
  </si>
  <si>
    <t>rotate y</t>
  </si>
  <si>
    <t>rotate z</t>
  </si>
  <si>
    <t>cut plane YZ</t>
  </si>
  <si>
    <t>cut plane XZ</t>
  </si>
  <si>
    <t>cut plane XY</t>
  </si>
  <si>
    <t>angles</t>
  </si>
  <si>
    <t>planes</t>
  </si>
  <si>
    <t>norm</t>
  </si>
  <si>
    <t>screen</t>
  </si>
  <si>
    <t>xs</t>
  </si>
  <si>
    <t>ys</t>
  </si>
  <si>
    <t>fract</t>
  </si>
  <si>
    <t>ts tick mark step width</t>
  </si>
  <si>
    <t>ft location first tick mark</t>
  </si>
  <si>
    <t>tx number of tick marks</t>
  </si>
  <si>
    <t>ftn normalised location first tick mark</t>
  </si>
  <si>
    <t>tsn normalised tick mark step width</t>
  </si>
  <si>
    <t>tick marks</t>
  </si>
  <si>
    <t>cage</t>
  </si>
  <si>
    <t>tick mark</t>
  </si>
  <si>
    <t>vect</t>
  </si>
  <si>
    <t>tick label x</t>
  </si>
  <si>
    <t>xsx</t>
  </si>
  <si>
    <t>ysx</t>
  </si>
  <si>
    <t>xsy</t>
  </si>
  <si>
    <t>ysy</t>
  </si>
  <si>
    <t>xsz</t>
  </si>
  <si>
    <t>ysz</t>
  </si>
  <si>
    <t>vectxc</t>
  </si>
  <si>
    <t>tmx x</t>
  </si>
  <si>
    <t>_tmx_y</t>
  </si>
  <si>
    <t>_tmx_z</t>
  </si>
  <si>
    <t>vectyc</t>
  </si>
  <si>
    <t>tmy y</t>
  </si>
  <si>
    <t>_tmy_x</t>
  </si>
  <si>
    <t>_tmy_z</t>
  </si>
  <si>
    <t>tick label y</t>
  </si>
  <si>
    <t>x-value</t>
  </si>
  <si>
    <t>y-value</t>
  </si>
  <si>
    <t>z-value</t>
  </si>
  <si>
    <t>x norm</t>
  </si>
  <si>
    <t>y norm</t>
  </si>
  <si>
    <t>z norm</t>
  </si>
  <si>
    <t>z</t>
    <phoneticPr fontId="4"/>
  </si>
  <si>
    <t>x</t>
    <phoneticPr fontId="4"/>
  </si>
  <si>
    <t>y</t>
    <phoneticPr fontId="4"/>
  </si>
  <si>
    <t>tag</t>
    <phoneticPr fontId="4"/>
  </si>
  <si>
    <r>
      <t>R</t>
    </r>
    <r>
      <rPr>
        <sz val="10"/>
        <rFont val="Verdana"/>
        <family val="2"/>
      </rPr>
      <t>4</t>
    </r>
    <phoneticPr fontId="4"/>
  </si>
  <si>
    <t>R2</t>
    <phoneticPr fontId="4"/>
  </si>
  <si>
    <t>A1</t>
    <phoneticPr fontId="4"/>
  </si>
  <si>
    <t>A2</t>
    <phoneticPr fontId="4"/>
  </si>
  <si>
    <t>A3</t>
    <phoneticPr fontId="4"/>
  </si>
  <si>
    <t>A4</t>
    <phoneticPr fontId="4"/>
  </si>
  <si>
    <t>R1</t>
    <phoneticPr fontId="4"/>
  </si>
  <si>
    <t>R3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</si>
</sst>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\{0\}"/>
  </numFmts>
  <fonts count="10">
    <font>
      <sz val="10"/>
      <name val="Verdana"/>
    </font>
    <font>
      <b/>
      <sz val="10"/>
      <name val="Verdana"/>
      <family val="2"/>
    </font>
    <font>
      <sz val="10"/>
      <name val="Verdana"/>
      <family val="2"/>
    </font>
    <font>
      <sz val="10"/>
      <color indexed="12"/>
      <name val="Verdana"/>
      <family val="2"/>
    </font>
    <font>
      <sz val="8"/>
      <name val="Verdana"/>
      <family val="2"/>
    </font>
    <font>
      <sz val="10"/>
      <color indexed="60"/>
      <name val="Verdana"/>
      <family val="2"/>
    </font>
    <font>
      <i/>
      <sz val="10"/>
      <color indexed="60"/>
      <name val="Verdana"/>
      <family val="2"/>
    </font>
    <font>
      <b/>
      <sz val="14"/>
      <name val="Verdana"/>
      <family val="2"/>
    </font>
    <font>
      <sz val="10"/>
      <color rgb="FF000000"/>
      <name val="Geneva"/>
    </font>
    <font>
      <sz val="10"/>
      <name val="Verdana"/>
      <family val="2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4">
    <xf numFmtId="0" fontId="0" fillId="0" borderId="0" xfId="0"/>
    <xf numFmtId="0" fontId="0" fillId="0" borderId="1" xfId="0" applyBorder="1"/>
    <xf numFmtId="0" fontId="1" fillId="0" borderId="1" xfId="0" applyFont="1" applyBorder="1"/>
    <xf numFmtId="0" fontId="1" fillId="0" borderId="0" xfId="0" applyFont="1"/>
    <xf numFmtId="0" fontId="0" fillId="0" borderId="2" xfId="0" applyBorder="1"/>
    <xf numFmtId="0" fontId="0" fillId="0" borderId="0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Fill="1"/>
    <xf numFmtId="0" fontId="0" fillId="0" borderId="0" xfId="0" applyAlignment="1">
      <alignment wrapText="1"/>
    </xf>
    <xf numFmtId="0" fontId="0" fillId="0" borderId="7" xfId="0" applyBorder="1"/>
    <xf numFmtId="0" fontId="0" fillId="0" borderId="8" xfId="0" applyBorder="1"/>
    <xf numFmtId="0" fontId="3" fillId="0" borderId="0" xfId="0" applyFont="1"/>
    <xf numFmtId="0" fontId="2" fillId="0" borderId="0" xfId="0" applyFont="1" applyFill="1"/>
    <xf numFmtId="0" fontId="0" fillId="0" borderId="0" xfId="0" applyFill="1" applyBorder="1"/>
    <xf numFmtId="0" fontId="0" fillId="0" borderId="0" xfId="0" applyAlignment="1"/>
    <xf numFmtId="0" fontId="1" fillId="0" borderId="0" xfId="0" applyFont="1" applyBorder="1"/>
    <xf numFmtId="0" fontId="1" fillId="0" borderId="9" xfId="0" applyFont="1" applyBorder="1"/>
    <xf numFmtId="0" fontId="1" fillId="0" borderId="3" xfId="0" applyFont="1" applyBorder="1"/>
    <xf numFmtId="0" fontId="0" fillId="0" borderId="4" xfId="0" applyFill="1" applyBorder="1"/>
    <xf numFmtId="0" fontId="0" fillId="0" borderId="2" xfId="0" applyFill="1" applyBorder="1"/>
    <xf numFmtId="0" fontId="0" fillId="0" borderId="10" xfId="0" applyFill="1" applyBorder="1"/>
    <xf numFmtId="0" fontId="1" fillId="0" borderId="2" xfId="0" applyFont="1" applyBorder="1"/>
    <xf numFmtId="0" fontId="1" fillId="0" borderId="4" xfId="0" applyFont="1" applyBorder="1"/>
    <xf numFmtId="0" fontId="0" fillId="0" borderId="9" xfId="0" applyBorder="1"/>
    <xf numFmtId="0" fontId="0" fillId="0" borderId="9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1" xfId="0" applyFill="1" applyBorder="1"/>
    <xf numFmtId="0" fontId="0" fillId="0" borderId="0" xfId="0" applyAlignment="1">
      <alignment horizontal="right"/>
    </xf>
    <xf numFmtId="0" fontId="0" fillId="0" borderId="0" xfId="0" applyNumberFormat="1"/>
    <xf numFmtId="0" fontId="0" fillId="0" borderId="5" xfId="0" quotePrefix="1" applyNumberFormat="1" applyBorder="1"/>
    <xf numFmtId="0" fontId="0" fillId="0" borderId="6" xfId="0" quotePrefix="1" applyNumberFormat="1" applyBorder="1"/>
    <xf numFmtId="0" fontId="0" fillId="0" borderId="11" xfId="0" applyFill="1" applyBorder="1"/>
    <xf numFmtId="0" fontId="0" fillId="0" borderId="7" xfId="0" applyFill="1" applyBorder="1"/>
    <xf numFmtId="0" fontId="0" fillId="0" borderId="8" xfId="0" applyFill="1" applyBorder="1"/>
    <xf numFmtId="0" fontId="5" fillId="0" borderId="0" xfId="0" applyFont="1" applyFill="1"/>
    <xf numFmtId="0" fontId="5" fillId="0" borderId="0" xfId="0" applyFont="1" applyFill="1" applyBorder="1"/>
    <xf numFmtId="0" fontId="5" fillId="0" borderId="2" xfId="0" applyFont="1" applyFill="1" applyBorder="1"/>
    <xf numFmtId="0" fontId="5" fillId="0" borderId="6" xfId="0" applyFont="1" applyFill="1" applyBorder="1"/>
    <xf numFmtId="0" fontId="5" fillId="0" borderId="10" xfId="0" applyFont="1" applyFill="1" applyBorder="1"/>
    <xf numFmtId="176" fontId="5" fillId="0" borderId="3" xfId="0" applyNumberFormat="1" applyFont="1" applyFill="1" applyBorder="1" applyAlignment="1">
      <alignment horizontal="center"/>
    </xf>
    <xf numFmtId="0" fontId="5" fillId="0" borderId="3" xfId="0" applyFont="1" applyFill="1" applyBorder="1"/>
    <xf numFmtId="0" fontId="5" fillId="0" borderId="9" xfId="0" applyFont="1" applyFill="1" applyBorder="1"/>
    <xf numFmtId="0" fontId="5" fillId="0" borderId="4" xfId="0" applyFont="1" applyFill="1" applyBorder="1"/>
    <xf numFmtId="0" fontId="5" fillId="0" borderId="5" xfId="0" applyFont="1" applyFill="1" applyBorder="1"/>
    <xf numFmtId="0" fontId="5" fillId="0" borderId="0" xfId="0" applyFont="1"/>
    <xf numFmtId="0" fontId="6" fillId="0" borderId="0" xfId="0" applyFont="1" applyFill="1" applyBorder="1"/>
    <xf numFmtId="0" fontId="6" fillId="0" borderId="2" xfId="0" applyFont="1" applyFill="1" applyBorder="1"/>
    <xf numFmtId="0" fontId="6" fillId="0" borderId="6" xfId="0" applyFont="1" applyFill="1" applyBorder="1"/>
    <xf numFmtId="0" fontId="6" fillId="0" borderId="10" xfId="0" applyFont="1" applyFill="1" applyBorder="1"/>
    <xf numFmtId="0" fontId="6" fillId="0" borderId="1" xfId="0" applyFont="1" applyFill="1" applyBorder="1"/>
    <xf numFmtId="0" fontId="2" fillId="0" borderId="6" xfId="0" applyFont="1" applyBorder="1"/>
    <xf numFmtId="0" fontId="7" fillId="2" borderId="6" xfId="0" applyFont="1" applyFill="1" applyBorder="1"/>
    <xf numFmtId="0" fontId="2" fillId="0" borderId="1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2" borderId="0" xfId="0" applyNumberFormat="1" applyFont="1" applyFill="1" applyBorder="1" applyAlignment="1" applyProtection="1"/>
    <xf numFmtId="0" fontId="5" fillId="3" borderId="0" xfId="0" applyNumberFormat="1" applyFont="1" applyFill="1" applyBorder="1" applyAlignment="1" applyProtection="1"/>
    <xf numFmtId="0" fontId="5" fillId="3" borderId="1" xfId="0" applyNumberFormat="1" applyFont="1" applyFill="1" applyBorder="1" applyAlignment="1" applyProtection="1"/>
    <xf numFmtId="0" fontId="5" fillId="3" borderId="2" xfId="0" applyNumberFormat="1" applyFont="1" applyFill="1" applyBorder="1" applyAlignment="1" applyProtection="1"/>
    <xf numFmtId="0" fontId="0" fillId="0" borderId="0" xfId="0" applyNumberFormat="1" applyFill="1"/>
    <xf numFmtId="0" fontId="2" fillId="0" borderId="0" xfId="0" applyFont="1"/>
    <xf numFmtId="0" fontId="2" fillId="4" borderId="0" xfId="0" applyFont="1" applyFill="1" applyAlignment="1"/>
    <xf numFmtId="0" fontId="9" fillId="0" borderId="0" xfId="0" applyFont="1"/>
    <xf numFmtId="0" fontId="9" fillId="2" borderId="0" xfId="0" applyNumberFormat="1" applyFont="1" applyFill="1" applyBorder="1" applyAlignment="1" applyProtection="1"/>
  </cellXfs>
  <cellStyles count="1">
    <cellStyle name="一般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60"/>
        <name val="Verdana"/>
        <scheme val="none"/>
      </font>
      <numFmt numFmtId="0" formatCode="General"/>
      <fill>
        <patternFill patternType="solid">
          <fgColor indexed="64"/>
          <bgColor indexed="43"/>
        </patternFill>
      </fill>
      <alignment horizontal="general" vertical="bottom" textRotation="0" wrapText="0" indent="0" justifyLastLine="0" shrinkToFit="0" readingOrder="0"/>
      <protection locked="1" hidden="0"/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Verdana"/>
        <scheme val="none"/>
      </font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1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3.198547669080161E-3"/>
          <c:w val="0.97218863361547803"/>
          <c:h val="0.97334878331402097"/>
        </c:manualLayout>
      </c:layout>
      <c:scatterChart>
        <c:scatterStyle val="lineMarker"/>
        <c:varyColors val="0"/>
        <c:ser>
          <c:idx val="0"/>
          <c:order val="0"/>
          <c:tx>
            <c:v>cage</c:v>
          </c:tx>
          <c:spPr>
            <a:ln w="3175">
              <a:solidFill>
                <a:srgbClr val="969696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B7B-44CB-8324-A764F576569B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4B7B-44CB-8324-A764F576569B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4B7B-44CB-8324-A764F576569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4B7B-44CB-8324-A764F576569B}"/>
                </c:ext>
              </c:extLst>
            </c:dLbl>
            <c:dLbl>
              <c:idx val="4"/>
              <c:layout/>
              <c:tx>
                <c:strRef>
                  <c:f>plot!$C$32</c:f>
                  <c:strCache>
                    <c:ptCount val="1"/>
                    <c:pt idx="0">
                      <c:v>x-value</c:v>
                    </c:pt>
                  </c:strCache>
                </c:strRef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{12B0CB3C-EC47-43B5-97E9-7AB39A1FFB63}</c15:txfldGUID>
                      <c15:f>plot!$C$32</c15:f>
                      <c15:dlblFieldTableCache>
                        <c:ptCount val="1"/>
                        <c:pt idx="0">
                          <c:v>x-value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4-4B7B-44CB-8324-A764F576569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4B7B-44CB-8324-A764F576569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4B7B-44CB-8324-A764F576569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4B7B-44CB-8324-A764F576569B}"/>
                </c:ext>
              </c:extLst>
            </c:dLbl>
            <c:dLbl>
              <c:idx val="8"/>
              <c:layout/>
              <c:tx>
                <c:strRef>
                  <c:f>plot!$E$32</c:f>
                  <c:strCache>
                    <c:ptCount val="1"/>
                    <c:pt idx="0">
                      <c:v>z-value</c:v>
                    </c:pt>
                  </c:strCache>
                </c:strRef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{11509079-D680-46FD-8C16-273806626805}</c15:txfldGUID>
                      <c15:f>plot!$E$32</c15:f>
                      <c15:dlblFieldTableCache>
                        <c:ptCount val="1"/>
                        <c:pt idx="0">
                          <c:v>z-value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8-4B7B-44CB-8324-A764F576569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4B7B-44CB-8324-A764F576569B}"/>
                </c:ext>
              </c:extLst>
            </c:dLbl>
            <c:dLbl>
              <c:idx val="10"/>
              <c:layout/>
              <c:tx>
                <c:strRef>
                  <c:f>plot!$D$32</c:f>
                  <c:strCache>
                    <c:ptCount val="1"/>
                    <c:pt idx="0">
                      <c:v>y-value</c:v>
                    </c:pt>
                  </c:strCache>
                </c:strRef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{C0D593BE-636E-4355-9106-5287841511BF}</c15:txfldGUID>
                      <c15:f>plot!$D$32</c15:f>
                      <c15:dlblFieldTableCache>
                        <c:ptCount val="1"/>
                        <c:pt idx="0">
                          <c:v>y-value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A-4B7B-44CB-8324-A764F576569B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Verdana"/>
                    <a:ea typeface="Verdana"/>
                    <a:cs typeface="Verdana"/>
                  </a:defRPr>
                </a:pPr>
                <a:endParaRPr lang="zh-TW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plot!$N$10:$N$20</c:f>
              <c:numCache>
                <c:formatCode>General</c:formatCode>
                <c:ptCount val="11"/>
                <c:pt idx="0">
                  <c:v>-0.64085638205578865</c:v>
                </c:pt>
                <c:pt idx="1">
                  <c:v>-0.29883623873011983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-0.64085638205578865</c:v>
                </c:pt>
                <c:pt idx="5">
                  <c:v>0.29883623873011972</c:v>
                </c:pt>
                <c:pt idx="6">
                  <c:v>0.64085638205578843</c:v>
                </c:pt>
                <c:pt idx="7">
                  <c:v>0.64085638205578865</c:v>
                </c:pt>
                <c:pt idx="8">
                  <c:v>-0.29883623873011972</c:v>
                </c:pt>
                <c:pt idx="9">
                  <c:v>-0.29883623873011983</c:v>
                </c:pt>
                <c:pt idx="10">
                  <c:v>0.64085638205578843</c:v>
                </c:pt>
              </c:numCache>
            </c:numRef>
          </c:xVal>
          <c:yVal>
            <c:numRef>
              <c:f>plot!$O$10:$O$20</c:f>
              <c:numCache>
                <c:formatCode>General</c:formatCode>
                <c:ptCount val="11"/>
                <c:pt idx="0">
                  <c:v>-0.58243082125727907</c:v>
                </c:pt>
                <c:pt idx="1">
                  <c:v>-0.11258451086432519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-0.58243082125727907</c:v>
                </c:pt>
                <c:pt idx="5">
                  <c:v>-0.75344089292011351</c:v>
                </c:pt>
                <c:pt idx="6">
                  <c:v>-0.28359458252715963</c:v>
                </c:pt>
                <c:pt idx="7">
                  <c:v>0.58243082125727907</c:v>
                </c:pt>
                <c:pt idx="8">
                  <c:v>0.75344089292011351</c:v>
                </c:pt>
                <c:pt idx="9">
                  <c:v>-0.11258451086432519</c:v>
                </c:pt>
                <c:pt idx="10">
                  <c:v>-0.28359458252715963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4B7B-44CB-8324-A764F576569B}"/>
            </c:ext>
          </c:extLst>
        </c:ser>
        <c:ser>
          <c:idx val="1"/>
          <c:order val="1"/>
          <c:tx>
            <c:v>labx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plot!$X$9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{868612EC-91EB-4031-941A-FDD25C294EF2}</c15:txfldGUID>
                      <c15:f>plot!$X$9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C-4B7B-44CB-8324-A764F576569B}"/>
                </c:ext>
              </c:extLst>
            </c:dLbl>
            <c:dLbl>
              <c:idx val="1"/>
              <c:layout/>
              <c:tx>
                <c:strRef>
                  <c:f>plot!$X$10</c:f>
                  <c:strCache>
                    <c:ptCount val="1"/>
                    <c:pt idx="0">
                      <c:v>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{B646B3F1-DEC0-4482-B8D7-6A7F53F514EB}</c15:txfldGUID>
                      <c15:f>plot!$X$10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D-4B7B-44CB-8324-A764F576569B}"/>
                </c:ext>
              </c:extLst>
            </c:dLbl>
            <c:dLbl>
              <c:idx val="2"/>
              <c:layout/>
              <c:tx>
                <c:strRef>
                  <c:f>plot!$X$11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{013335AE-3BBE-4388-AF19-B2AC87FB6359}</c15:txfldGUID>
                      <c15:f>plot!$X$11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E-4B7B-44CB-8324-A764F576569B}"/>
                </c:ext>
              </c:extLst>
            </c:dLbl>
            <c:dLbl>
              <c:idx val="3"/>
              <c:layout/>
              <c:tx>
                <c:strRef>
                  <c:f>plot!$X$12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{AC0310F0-DED6-4072-BE42-77996F3CE376}</c15:txfldGUID>
                      <c15:f>plot!$X$12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0F-4B7B-44CB-8324-A764F576569B}"/>
                </c:ext>
              </c:extLst>
            </c:dLbl>
            <c:dLbl>
              <c:idx val="4"/>
              <c:layout/>
              <c:tx>
                <c:strRef>
                  <c:f>plot!$X$13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{C37F25FB-84B8-4556-8EB5-27CBBE6104B0}</c15:txfldGUID>
                      <c15:f>plot!$X$13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0-4B7B-44CB-8324-A764F576569B}"/>
                </c:ext>
              </c:extLst>
            </c:dLbl>
            <c:dLbl>
              <c:idx val="5"/>
              <c:layout/>
              <c:tx>
                <c:strRef>
                  <c:f>plot!$X$14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{A73F14D3-6622-4044-86B5-22BCD5E4E93D}</c15:txfldGUID>
                      <c15:f>plot!$X$14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1-4B7B-44CB-8324-A764F576569B}"/>
                </c:ext>
              </c:extLst>
            </c:dLbl>
            <c:dLbl>
              <c:idx val="6"/>
              <c:layout/>
              <c:tx>
                <c:strRef>
                  <c:f>plot!$X$15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{DBCF1DCF-78FB-44E3-9444-99BEA6877D2C}</c15:txfldGUID>
                      <c15:f>plot!$X$15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2-4B7B-44CB-8324-A764F576569B}"/>
                </c:ext>
              </c:extLst>
            </c:dLbl>
            <c:dLbl>
              <c:idx val="7"/>
              <c:layout/>
              <c:tx>
                <c:strRef>
                  <c:f>plot!$X$16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{2ACE43C3-5ECC-4B8D-95A1-32A2286EC797}</c15:txfldGUID>
                      <c15:f>plot!$X$16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3-4B7B-44CB-8324-A764F576569B}"/>
                </c:ext>
              </c:extLst>
            </c:dLbl>
            <c:dLbl>
              <c:idx val="8"/>
              <c:layout/>
              <c:tx>
                <c:strRef>
                  <c:f>plot!$X$17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{57D871E3-8BE3-4A77-917D-0011755D644D}</c15:txfldGUID>
                      <c15:f>plot!$X$17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4-4B7B-44CB-8324-A764F576569B}"/>
                </c:ext>
              </c:extLst>
            </c:dLbl>
            <c:dLbl>
              <c:idx val="9"/>
              <c:layout/>
              <c:tx>
                <c:strRef>
                  <c:f>plot!$X$18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{8D6799E1-D503-47EC-B5C9-D0D1BAAB7943}</c15:txfldGUID>
                      <c15:f>plot!$X$18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5-4B7B-44CB-8324-A764F576569B}"/>
                </c:ext>
              </c:extLst>
            </c:dLbl>
            <c:dLbl>
              <c:idx val="10"/>
              <c:layout/>
              <c:tx>
                <c:strRef>
                  <c:f>plot!$X$19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{8623D68C-F2D3-4556-8B3C-EC2655F5F762}</c15:txfldGUID>
                      <c15:f>plot!$X$19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6-4B7B-44CB-8324-A764F576569B}"/>
                </c:ext>
              </c:extLst>
            </c:dLbl>
            <c:dLbl>
              <c:idx val="11"/>
              <c:layout/>
              <c:tx>
                <c:strRef>
                  <c:f>plot!$X$20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{1EFFDF3B-EB17-4BB6-9CD9-5334F427ACE5}</c15:txfldGUID>
                      <c15:f>plot!$X$20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7-4B7B-44CB-8324-A764F576569B}"/>
                </c:ext>
              </c:extLst>
            </c:dLbl>
            <c:dLbl>
              <c:idx val="12"/>
              <c:layout/>
              <c:tx>
                <c:strRef>
                  <c:f>plot!$X$21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{0542D943-28B0-4A12-8903-F32D3E02BA10}</c15:txfldGUID>
                      <c15:f>plot!$X$21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8-4B7B-44CB-8324-A764F576569B}"/>
                </c:ext>
              </c:extLst>
            </c:dLbl>
            <c:dLbl>
              <c:idx val="13"/>
              <c:layout/>
              <c:tx>
                <c:strRef>
                  <c:f>plot!$X$22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{394CB9D7-CC92-40E4-8F77-801CEBA49BD3}</c15:txfldGUID>
                      <c15:f>plot!$X$22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9-4B7B-44CB-8324-A764F576569B}"/>
                </c:ext>
              </c:extLst>
            </c:dLbl>
            <c:dLbl>
              <c:idx val="14"/>
              <c:layout/>
              <c:tx>
                <c:strRef>
                  <c:f>plot!$X$23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{9C1FBF0E-39D7-45B6-8999-56F14BCEBA82}</c15:txfldGUID>
                      <c15:f>plot!$X$23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A-4B7B-44CB-8324-A764F576569B}"/>
                </c:ext>
              </c:extLst>
            </c:dLbl>
            <c:dLbl>
              <c:idx val="15"/>
              <c:layout/>
              <c:tx>
                <c:strRef>
                  <c:f>plot!$X$24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{4583D3AE-9E32-4D08-AB86-C46BF5EE0D6B}</c15:txfldGUID>
                      <c15:f>plot!$X$24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B-4B7B-44CB-8324-A764F576569B}"/>
                </c:ext>
              </c:extLst>
            </c:dLbl>
            <c:dLbl>
              <c:idx val="16"/>
              <c:layout/>
              <c:tx>
                <c:strRef>
                  <c:f>plot!$X$25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{42C13F41-7B43-4CA6-BCFD-5D1EE879BD79}</c15:txfldGUID>
                      <c15:f>plot!$X$25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C-4B7B-44CB-8324-A764F576569B}"/>
                </c:ext>
              </c:extLst>
            </c:dLbl>
            <c:dLbl>
              <c:idx val="17"/>
              <c:layout/>
              <c:tx>
                <c:strRef>
                  <c:f>plot!$X$26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{0E92605F-E61E-4FFF-8DE7-0A56C7F56B1B}</c15:txfldGUID>
                      <c15:f>plot!$X$26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D-4B7B-44CB-8324-A764F576569B}"/>
                </c:ext>
              </c:extLst>
            </c:dLbl>
            <c:dLbl>
              <c:idx val="18"/>
              <c:layout/>
              <c:tx>
                <c:strRef>
                  <c:f>plot!$X$27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{932428FB-0444-4657-999E-54A0648DCE92}</c15:txfldGUID>
                      <c15:f>plot!$X$27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E-4B7B-44CB-8324-A764F576569B}"/>
                </c:ext>
              </c:extLst>
            </c:dLbl>
            <c:dLbl>
              <c:idx val="19"/>
              <c:layout/>
              <c:tx>
                <c:strRef>
                  <c:f>plot!$X$28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{286ACE18-604F-4A16-BA21-342A05880F76}</c15:txfldGUID>
                      <c15:f>plot!$X$28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1F-4B7B-44CB-8324-A764F576569B}"/>
                </c:ext>
              </c:extLst>
            </c:dLbl>
            <c:dLbl>
              <c:idx val="20"/>
              <c:layout/>
              <c:tx>
                <c:strRef>
                  <c:f>plot!$X$29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{AD308607-6137-436F-88DA-11E7BD06F6AF}</c15:txfldGUID>
                      <c15:f>plot!$X$29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0-4B7B-44CB-8324-A764F57656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plot!$Y$9:$Y$29</c:f>
              <c:numCache>
                <c:formatCode>General</c:formatCode>
                <c:ptCount val="21"/>
                <c:pt idx="0">
                  <c:v>0.5724523533906547</c:v>
                </c:pt>
                <c:pt idx="1">
                  <c:v>0.6664216154692455</c:v>
                </c:pt>
                <c:pt idx="2">
                  <c:v>0.5724523533906547</c:v>
                </c:pt>
                <c:pt idx="3">
                  <c:v>0.50404832472552097</c:v>
                </c:pt>
                <c:pt idx="4">
                  <c:v>0.59801758680411177</c:v>
                </c:pt>
                <c:pt idx="5">
                  <c:v>0.50404832472552097</c:v>
                </c:pt>
                <c:pt idx="6">
                  <c:v>0.43564429606038718</c:v>
                </c:pt>
                <c:pt idx="7">
                  <c:v>0.52961355813897804</c:v>
                </c:pt>
                <c:pt idx="8">
                  <c:v>0.43564429606038718</c:v>
                </c:pt>
                <c:pt idx="9">
                  <c:v>0.36724026739525345</c:v>
                </c:pt>
                <c:pt idx="10">
                  <c:v>0.46120952947384425</c:v>
                </c:pt>
                <c:pt idx="11">
                  <c:v>0.36724026739525345</c:v>
                </c:pt>
                <c:pt idx="12">
                  <c:v>0.29883623873011972</c:v>
                </c:pt>
                <c:pt idx="13">
                  <c:v>0.39280550080871052</c:v>
                </c:pt>
                <c:pt idx="14">
                  <c:v>0.29883623873011972</c:v>
                </c:pt>
                <c:pt idx="15">
                  <c:v>0.29883623873011972</c:v>
                </c:pt>
                <c:pt idx="16">
                  <c:v>0.39280550080871052</c:v>
                </c:pt>
                <c:pt idx="17">
                  <c:v>0.29883623873011972</c:v>
                </c:pt>
                <c:pt idx="18">
                  <c:v>0.29883623873011972</c:v>
                </c:pt>
                <c:pt idx="19">
                  <c:v>0.39280550080871052</c:v>
                </c:pt>
                <c:pt idx="20">
                  <c:v>0.29883623873011972</c:v>
                </c:pt>
              </c:numCache>
            </c:numRef>
          </c:xVal>
          <c:yVal>
            <c:numRef>
              <c:f>plot!$Z$9:$Z$29</c:f>
              <c:numCache>
                <c:formatCode>General</c:formatCode>
                <c:ptCount val="21"/>
                <c:pt idx="0">
                  <c:v>-0.37756384460575043</c:v>
                </c:pt>
                <c:pt idx="1">
                  <c:v>-0.39466485177203386</c:v>
                </c:pt>
                <c:pt idx="2">
                  <c:v>-0.37756384460575043</c:v>
                </c:pt>
                <c:pt idx="3">
                  <c:v>-0.47153310668434117</c:v>
                </c:pt>
                <c:pt idx="4">
                  <c:v>-0.48863411385062466</c:v>
                </c:pt>
                <c:pt idx="5">
                  <c:v>-0.47153310668434117</c:v>
                </c:pt>
                <c:pt idx="6">
                  <c:v>-0.56550236876293192</c:v>
                </c:pt>
                <c:pt idx="7">
                  <c:v>-0.58260337592921541</c:v>
                </c:pt>
                <c:pt idx="8">
                  <c:v>-0.56550236876293192</c:v>
                </c:pt>
                <c:pt idx="9">
                  <c:v>-0.65947163084152272</c:v>
                </c:pt>
                <c:pt idx="10">
                  <c:v>-0.6765726380078062</c:v>
                </c:pt>
                <c:pt idx="11">
                  <c:v>-0.65947163084152272</c:v>
                </c:pt>
                <c:pt idx="12">
                  <c:v>-0.75344089292011351</c:v>
                </c:pt>
                <c:pt idx="13">
                  <c:v>-0.77054190008639689</c:v>
                </c:pt>
                <c:pt idx="14">
                  <c:v>-0.75344089292011351</c:v>
                </c:pt>
                <c:pt idx="15">
                  <c:v>-0.75344089292011351</c:v>
                </c:pt>
                <c:pt idx="16">
                  <c:v>-0.77054190008639689</c:v>
                </c:pt>
                <c:pt idx="17">
                  <c:v>-0.75344089292011351</c:v>
                </c:pt>
                <c:pt idx="18">
                  <c:v>-0.75344089292011351</c:v>
                </c:pt>
                <c:pt idx="19">
                  <c:v>-0.77054190008639689</c:v>
                </c:pt>
                <c:pt idx="20">
                  <c:v>-0.75344089292011351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4B7B-44CB-8324-A764F576569B}"/>
            </c:ext>
          </c:extLst>
        </c:ser>
        <c:ser>
          <c:idx val="3"/>
          <c:order val="2"/>
          <c:tx>
            <c:v>cut_plane_x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006411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plot!$M$33:$M$39</c:f>
              <c:numCache>
                <c:formatCode>General</c:formatCode>
                <c:ptCount val="7"/>
                <c:pt idx="0">
                  <c:v>-0.29883623873011983</c:v>
                </c:pt>
                <c:pt idx="1">
                  <c:v>-0.29883623873011972</c:v>
                </c:pt>
                <c:pt idx="2">
                  <c:v>0.64085638205578865</c:v>
                </c:pt>
                <c:pt idx="3">
                  <c:v>0.64085638205578865</c:v>
                </c:pt>
                <c:pt idx="4">
                  <c:v>0.23531511708845571</c:v>
                </c:pt>
                <c:pt idx="5">
                  <c:v>-0.29883623873011983</c:v>
                </c:pt>
                <c:pt idx="6">
                  <c:v>-0.29883623873011983</c:v>
                </c:pt>
              </c:numCache>
            </c:numRef>
          </c:xVal>
          <c:yVal>
            <c:numRef>
              <c:f>plot!$N$33:$N$39</c:f>
              <c:numCache>
                <c:formatCode>General</c:formatCode>
                <c:ptCount val="7"/>
                <c:pt idx="0">
                  <c:v>-0.11258451086432519</c:v>
                </c:pt>
                <c:pt idx="1">
                  <c:v>0.75344089292011351</c:v>
                </c:pt>
                <c:pt idx="2">
                  <c:v>0.58243082125727907</c:v>
                </c:pt>
                <c:pt idx="3">
                  <c:v>0.58243082125727907</c:v>
                </c:pt>
                <c:pt idx="4">
                  <c:v>7.4442573793177785E-2</c:v>
                </c:pt>
                <c:pt idx="5">
                  <c:v>-0.11258451086432519</c:v>
                </c:pt>
                <c:pt idx="6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4B7B-44CB-8324-A764F576569B}"/>
            </c:ext>
          </c:extLst>
        </c:ser>
        <c:ser>
          <c:idx val="4"/>
          <c:order val="3"/>
          <c:tx>
            <c:v>projxframe</c:v>
          </c:tx>
          <c:spPr>
            <a:ln w="25400">
              <a:solidFill>
                <a:srgbClr val="006411"/>
              </a:solidFill>
              <a:prstDash val="solid"/>
            </a:ln>
          </c:spPr>
          <c:marker>
            <c:symbol val="none"/>
          </c:marker>
          <c:xVal>
            <c:numRef>
              <c:f>plot!$M$24:$M$28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0.64085638205578843</c:v>
                </c:pt>
                <c:pt idx="2">
                  <c:v>0.64085638205578865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plot!$N$24:$N$28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-0.28359458252715963</c:v>
                </c:pt>
                <c:pt idx="2">
                  <c:v>0.58243082125727907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3-4B7B-44CB-8324-A764F576569B}"/>
            </c:ext>
          </c:extLst>
        </c:ser>
        <c:ser>
          <c:idx val="5"/>
          <c:order val="4"/>
          <c:tx>
            <c:v>projyframe</c:v>
          </c:tx>
          <c:spPr>
            <a:ln w="25400">
              <a:solidFill>
                <a:srgbClr val="900000"/>
              </a:solidFill>
              <a:prstDash val="solid"/>
            </a:ln>
          </c:spPr>
          <c:marker>
            <c:symbol val="none"/>
          </c:marker>
          <c:xVal>
            <c:numRef>
              <c:f>plot!$O$24:$O$28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-0.64085638205578843</c:v>
                </c:pt>
                <c:pt idx="3">
                  <c:v>-0.29883623873011972</c:v>
                </c:pt>
                <c:pt idx="4">
                  <c:v>-0.29883623873011983</c:v>
                </c:pt>
              </c:numCache>
            </c:numRef>
          </c:xVal>
          <c:yVal>
            <c:numRef>
              <c:f>plot!$P$24:$P$28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0.28359458252715963</c:v>
                </c:pt>
                <c:pt idx="3">
                  <c:v>0.75344089292011351</c:v>
                </c:pt>
                <c:pt idx="4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4B7B-44CB-8324-A764F576569B}"/>
            </c:ext>
          </c:extLst>
        </c:ser>
        <c:ser>
          <c:idx val="6"/>
          <c:order val="5"/>
          <c:tx>
            <c:v>projzframe</c:v>
          </c:tx>
          <c:spPr>
            <a:ln w="25400">
              <a:solidFill>
                <a:srgbClr val="000090"/>
              </a:solidFill>
              <a:prstDash val="solid"/>
            </a:ln>
          </c:spPr>
          <c:marker>
            <c:symbol val="none"/>
          </c:marker>
          <c:xVal>
            <c:numRef>
              <c:f>plot!$Q$24:$Q$28</c:f>
              <c:numCache>
                <c:formatCode>General</c:formatCode>
                <c:ptCount val="5"/>
                <c:pt idx="0">
                  <c:v>-0.29883623873011983</c:v>
                </c:pt>
                <c:pt idx="1">
                  <c:v>-0.64085638205578865</c:v>
                </c:pt>
                <c:pt idx="2">
                  <c:v>0.29883623873011972</c:v>
                </c:pt>
                <c:pt idx="3">
                  <c:v>0.64085638205578843</c:v>
                </c:pt>
                <c:pt idx="4">
                  <c:v>-0.29883623873011983</c:v>
                </c:pt>
              </c:numCache>
            </c:numRef>
          </c:xVal>
          <c:yVal>
            <c:numRef>
              <c:f>plot!$R$24:$R$28</c:f>
              <c:numCache>
                <c:formatCode>General</c:formatCode>
                <c:ptCount val="5"/>
                <c:pt idx="0">
                  <c:v>-0.11258451086432519</c:v>
                </c:pt>
                <c:pt idx="1">
                  <c:v>-0.58243082125727907</c:v>
                </c:pt>
                <c:pt idx="2">
                  <c:v>-0.75344089292011351</c:v>
                </c:pt>
                <c:pt idx="3">
                  <c:v>-0.28359458252715963</c:v>
                </c:pt>
                <c:pt idx="4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4B7B-44CB-8324-A764F576569B}"/>
            </c:ext>
          </c:extLst>
        </c:ser>
        <c:ser>
          <c:idx val="7"/>
          <c:order val="6"/>
          <c:tx>
            <c:v>cut_plane_y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993300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plot!$O$33:$O$39</c:f>
              <c:numCache>
                <c:formatCode>General</c:formatCode>
                <c:ptCount val="7"/>
                <c:pt idx="0">
                  <c:v>-0.29883623873011983</c:v>
                </c:pt>
                <c:pt idx="1">
                  <c:v>-0.64085638205578843</c:v>
                </c:pt>
                <c:pt idx="2">
                  <c:v>-0.29883623873011972</c:v>
                </c:pt>
                <c:pt idx="3">
                  <c:v>-0.64085638205578843</c:v>
                </c:pt>
                <c:pt idx="4">
                  <c:v>-0.5086985879234428</c:v>
                </c:pt>
                <c:pt idx="5">
                  <c:v>-0.29883623873011983</c:v>
                </c:pt>
                <c:pt idx="6">
                  <c:v>-0.29883623873011983</c:v>
                </c:pt>
              </c:numCache>
            </c:numRef>
          </c:xVal>
          <c:yVal>
            <c:numRef>
              <c:f>plot!$P$33:$P$39</c:f>
              <c:numCache>
                <c:formatCode>General</c:formatCode>
                <c:ptCount val="7"/>
                <c:pt idx="0">
                  <c:v>-0.11258451086432519</c:v>
                </c:pt>
                <c:pt idx="1">
                  <c:v>0.28359458252715963</c:v>
                </c:pt>
                <c:pt idx="2">
                  <c:v>0.75344089292011351</c:v>
                </c:pt>
                <c:pt idx="3">
                  <c:v>0.28359458252715963</c:v>
                </c:pt>
                <c:pt idx="4">
                  <c:v>-0.11664586195255167</c:v>
                </c:pt>
                <c:pt idx="5">
                  <c:v>-0.11258451086432519</c:v>
                </c:pt>
                <c:pt idx="6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6-4B7B-44CB-8324-A764F576569B}"/>
            </c:ext>
          </c:extLst>
        </c:ser>
        <c:ser>
          <c:idx val="8"/>
          <c:order val="7"/>
          <c:tx>
            <c:v>cut_plane_z</c:v>
          </c:tx>
          <c:spPr>
            <a:ln w="28575">
              <a:noFill/>
            </a:ln>
          </c:spPr>
          <c:marker>
            <c:symbol val="circle"/>
            <c:size val="3"/>
            <c:spPr>
              <a:solidFill>
                <a:srgbClr val="333399"/>
              </a:solidFill>
              <a:ln>
                <a:solidFill>
                  <a:srgbClr val="808080"/>
                </a:solidFill>
                <a:prstDash val="solid"/>
              </a:ln>
            </c:spPr>
          </c:marker>
          <c:xVal>
            <c:numRef>
              <c:f>plot!$Q$33:$Q$39</c:f>
              <c:numCache>
                <c:formatCode>General</c:formatCode>
                <c:ptCount val="7"/>
                <c:pt idx="0">
                  <c:v>-0.29883623873011983</c:v>
                </c:pt>
                <c:pt idx="1">
                  <c:v>-0.64085638205578865</c:v>
                </c:pt>
                <c:pt idx="2">
                  <c:v>0.64085638205578843</c:v>
                </c:pt>
                <c:pt idx="3">
                  <c:v>0.29883623873011972</c:v>
                </c:pt>
                <c:pt idx="4">
                  <c:v>2.5452767895132615E-2</c:v>
                </c:pt>
                <c:pt idx="5">
                  <c:v>-0.29883623873011983</c:v>
                </c:pt>
                <c:pt idx="6">
                  <c:v>-0.29883623873011983</c:v>
                </c:pt>
              </c:numCache>
            </c:numRef>
          </c:xVal>
          <c:yVal>
            <c:numRef>
              <c:f>plot!$R$33:$R$39</c:f>
              <c:numCache>
                <c:formatCode>General</c:formatCode>
                <c:ptCount val="7"/>
                <c:pt idx="0">
                  <c:v>-0.11258451086432519</c:v>
                </c:pt>
                <c:pt idx="1">
                  <c:v>-0.58243082125727907</c:v>
                </c:pt>
                <c:pt idx="2">
                  <c:v>-0.28359458252715963</c:v>
                </c:pt>
                <c:pt idx="3">
                  <c:v>-0.75344089292011351</c:v>
                </c:pt>
                <c:pt idx="4">
                  <c:v>-0.49808814072095131</c:v>
                </c:pt>
                <c:pt idx="5">
                  <c:v>-0.11258451086432519</c:v>
                </c:pt>
                <c:pt idx="6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4B7B-44CB-8324-A764F576569B}"/>
            </c:ext>
          </c:extLst>
        </c:ser>
        <c:ser>
          <c:idx val="9"/>
          <c:order val="8"/>
          <c:tx>
            <c:v>laby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plot!$AC$9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{2419C8F1-F210-43F0-88BA-A132D6562FAC}</c15:txfldGUID>
                      <c15:f>plot!$AC$9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8-4B7B-44CB-8324-A764F576569B}"/>
                </c:ext>
              </c:extLst>
            </c:dLbl>
            <c:dLbl>
              <c:idx val="1"/>
              <c:layout/>
              <c:tx>
                <c:strRef>
                  <c:f>plot!$AC$10</c:f>
                  <c:strCache>
                    <c:ptCount val="1"/>
                    <c:pt idx="0">
                      <c:v>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{BE94C77B-82C6-47A2-9714-C642485DE346}</c15:txfldGUID>
                      <c15:f>plot!$AC$10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9-4B7B-44CB-8324-A764F576569B}"/>
                </c:ext>
              </c:extLst>
            </c:dLbl>
            <c:dLbl>
              <c:idx val="2"/>
              <c:layout/>
              <c:tx>
                <c:strRef>
                  <c:f>plot!$AC$11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{04FBA482-95C2-423E-B6C6-869CD9023824}</c15:txfldGUID>
                      <c15:f>plot!$AC$11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A-4B7B-44CB-8324-A764F576569B}"/>
                </c:ext>
              </c:extLst>
            </c:dLbl>
            <c:dLbl>
              <c:idx val="3"/>
              <c:layout/>
              <c:tx>
                <c:strRef>
                  <c:f>plot!$AC$12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{F4EE3D40-49E2-4C7B-964C-68768515EEC9}</c15:txfldGUID>
                      <c15:f>plot!$AC$12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B-4B7B-44CB-8324-A764F576569B}"/>
                </c:ext>
              </c:extLst>
            </c:dLbl>
            <c:dLbl>
              <c:idx val="4"/>
              <c:layout/>
              <c:tx>
                <c:strRef>
                  <c:f>plot!$AC$13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{EF56432F-8A32-4B48-A9FF-6A5B38FE9774}</c15:txfldGUID>
                      <c15:f>plot!$AC$13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C-4B7B-44CB-8324-A764F576569B}"/>
                </c:ext>
              </c:extLst>
            </c:dLbl>
            <c:dLbl>
              <c:idx val="5"/>
              <c:layout/>
              <c:tx>
                <c:strRef>
                  <c:f>plot!$AC$14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{A57772FB-D15C-4E8D-A3E0-6BCDE89D358A}</c15:txfldGUID>
                      <c15:f>plot!$AC$14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D-4B7B-44CB-8324-A764F576569B}"/>
                </c:ext>
              </c:extLst>
            </c:dLbl>
            <c:dLbl>
              <c:idx val="6"/>
              <c:layout/>
              <c:tx>
                <c:strRef>
                  <c:f>plot!$AC$15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{1A4FEA99-7E99-456A-AB11-1896FD1A7073}</c15:txfldGUID>
                      <c15:f>plot!$AC$15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E-4B7B-44CB-8324-A764F576569B}"/>
                </c:ext>
              </c:extLst>
            </c:dLbl>
            <c:dLbl>
              <c:idx val="7"/>
              <c:layout/>
              <c:tx>
                <c:strRef>
                  <c:f>plot!$AC$16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{7EAFA97D-9A53-49C6-B8CF-3D39C9F06826}</c15:txfldGUID>
                      <c15:f>plot!$AC$16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2F-4B7B-44CB-8324-A764F576569B}"/>
                </c:ext>
              </c:extLst>
            </c:dLbl>
            <c:dLbl>
              <c:idx val="8"/>
              <c:layout/>
              <c:tx>
                <c:strRef>
                  <c:f>plot!$AC$17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{5EB7197C-7D8E-4C4D-8253-0E8807DD8506}</c15:txfldGUID>
                      <c15:f>plot!$AC$17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0-4B7B-44CB-8324-A764F576569B}"/>
                </c:ext>
              </c:extLst>
            </c:dLbl>
            <c:dLbl>
              <c:idx val="9"/>
              <c:layout/>
              <c:tx>
                <c:strRef>
                  <c:f>plot!$AC$18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{099B1BD7-3F3C-4BFD-9D30-F8B0498A50FE}</c15:txfldGUID>
                      <c15:f>plot!$AC$18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1-4B7B-44CB-8324-A764F576569B}"/>
                </c:ext>
              </c:extLst>
            </c:dLbl>
            <c:dLbl>
              <c:idx val="10"/>
              <c:layout/>
              <c:tx>
                <c:strRef>
                  <c:f>plot!$AC$19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{F1D6BA0D-1CC2-4723-BA11-0411DEB3342C}</c15:txfldGUID>
                      <c15:f>plot!$AC$19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2-4B7B-44CB-8324-A764F576569B}"/>
                </c:ext>
              </c:extLst>
            </c:dLbl>
            <c:dLbl>
              <c:idx val="11"/>
              <c:layout/>
              <c:tx>
                <c:strRef>
                  <c:f>plot!$AC$20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{35D91070-0455-41A4-90BF-087D3CD77041}</c15:txfldGUID>
                      <c15:f>plot!$AC$20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3-4B7B-44CB-8324-A764F576569B}"/>
                </c:ext>
              </c:extLst>
            </c:dLbl>
            <c:dLbl>
              <c:idx val="12"/>
              <c:layout/>
              <c:tx>
                <c:strRef>
                  <c:f>plot!$AC$21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{05CF4194-288E-4514-AA9D-1EDECC5F997D}</c15:txfldGUID>
                      <c15:f>plot!$AC$21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4-4B7B-44CB-8324-A764F576569B}"/>
                </c:ext>
              </c:extLst>
            </c:dLbl>
            <c:dLbl>
              <c:idx val="13"/>
              <c:layout/>
              <c:tx>
                <c:strRef>
                  <c:f>plot!$AC$22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{7497424F-5BBE-42CC-9743-63C27FFD9A72}</c15:txfldGUID>
                      <c15:f>plot!$AC$22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5-4B7B-44CB-8324-A764F576569B}"/>
                </c:ext>
              </c:extLst>
            </c:dLbl>
            <c:dLbl>
              <c:idx val="14"/>
              <c:layout/>
              <c:tx>
                <c:strRef>
                  <c:f>plot!$AC$23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{AC0EF983-2E83-4C21-946A-47219E3436E8}</c15:txfldGUID>
                      <c15:f>plot!$AC$23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6-4B7B-44CB-8324-A764F576569B}"/>
                </c:ext>
              </c:extLst>
            </c:dLbl>
            <c:dLbl>
              <c:idx val="15"/>
              <c:layout/>
              <c:tx>
                <c:strRef>
                  <c:f>plot!$AC$24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{D7E159F9-51D4-42C7-961B-15A7F4A05517}</c15:txfldGUID>
                      <c15:f>plot!$AC$24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7-4B7B-44CB-8324-A764F576569B}"/>
                </c:ext>
              </c:extLst>
            </c:dLbl>
            <c:dLbl>
              <c:idx val="16"/>
              <c:layout/>
              <c:tx>
                <c:strRef>
                  <c:f>plot!$AC$25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{6F1B3662-4D6F-4214-A80D-E6F1B6AEFCCF}</c15:txfldGUID>
                      <c15:f>plot!$AC$25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8-4B7B-44CB-8324-A764F576569B}"/>
                </c:ext>
              </c:extLst>
            </c:dLbl>
            <c:dLbl>
              <c:idx val="17"/>
              <c:layout/>
              <c:tx>
                <c:strRef>
                  <c:f>plot!$AC$26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{A747927B-135C-49DD-B9EA-CCE05F5C993D}</c15:txfldGUID>
                      <c15:f>plot!$AC$26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9-4B7B-44CB-8324-A764F576569B}"/>
                </c:ext>
              </c:extLst>
            </c:dLbl>
            <c:dLbl>
              <c:idx val="18"/>
              <c:layout/>
              <c:tx>
                <c:strRef>
                  <c:f>plot!$AC$27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{92108A0D-090C-40C8-937C-E58E70AC4272}</c15:txfldGUID>
                      <c15:f>plot!$AC$27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A-4B7B-44CB-8324-A764F576569B}"/>
                </c:ext>
              </c:extLst>
            </c:dLbl>
            <c:dLbl>
              <c:idx val="19"/>
              <c:layout/>
              <c:tx>
                <c:strRef>
                  <c:f>plot!$AC$28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{703A29C7-4C6E-4E6E-B5B7-524A752CB291}</c15:txfldGUID>
                      <c15:f>plot!$AC$28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B-4B7B-44CB-8324-A764F576569B}"/>
                </c:ext>
              </c:extLst>
            </c:dLbl>
            <c:dLbl>
              <c:idx val="20"/>
              <c:layout/>
              <c:tx>
                <c:strRef>
                  <c:f>plot!$AC$29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{EAA7B6CA-9900-4731-B6D7-3821D9E2B080}</c15:txfldGUID>
                      <c15:f>plot!$AC$29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C-4B7B-44CB-8324-A764F57656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plot!$AD$9:$AD$29</c:f>
              <c:numCache>
                <c:formatCode>General</c:formatCode>
                <c:ptCount val="21"/>
                <c:pt idx="0">
                  <c:v>-0.452917857898607</c:v>
                </c:pt>
                <c:pt idx="1">
                  <c:v>-0.48711987223117387</c:v>
                </c:pt>
                <c:pt idx="2">
                  <c:v>-0.452917857898607</c:v>
                </c:pt>
                <c:pt idx="3">
                  <c:v>-0.26497933374142529</c:v>
                </c:pt>
                <c:pt idx="4">
                  <c:v>-0.29918134807399216</c:v>
                </c:pt>
                <c:pt idx="5">
                  <c:v>-0.26497933374142529</c:v>
                </c:pt>
                <c:pt idx="6">
                  <c:v>-7.70408095842436E-2</c:v>
                </c:pt>
                <c:pt idx="7">
                  <c:v>-0.11124282391681047</c:v>
                </c:pt>
                <c:pt idx="8">
                  <c:v>-7.70408095842436E-2</c:v>
                </c:pt>
                <c:pt idx="9">
                  <c:v>0.11089771457293809</c:v>
                </c:pt>
                <c:pt idx="10">
                  <c:v>7.6695700240371228E-2</c:v>
                </c:pt>
                <c:pt idx="11">
                  <c:v>0.11089771457293809</c:v>
                </c:pt>
                <c:pt idx="12">
                  <c:v>0.29883623873011972</c:v>
                </c:pt>
                <c:pt idx="13">
                  <c:v>0.26463422439755285</c:v>
                </c:pt>
                <c:pt idx="14">
                  <c:v>0.29883623873011972</c:v>
                </c:pt>
                <c:pt idx="15">
                  <c:v>0.29883623873011972</c:v>
                </c:pt>
                <c:pt idx="16">
                  <c:v>0.26463422439755285</c:v>
                </c:pt>
                <c:pt idx="17">
                  <c:v>0.29883623873011972</c:v>
                </c:pt>
                <c:pt idx="18">
                  <c:v>0.29883623873011972</c:v>
                </c:pt>
                <c:pt idx="19">
                  <c:v>0.26463422439755285</c:v>
                </c:pt>
                <c:pt idx="20">
                  <c:v>0.29883623873011972</c:v>
                </c:pt>
              </c:numCache>
            </c:numRef>
          </c:xVal>
          <c:yVal>
            <c:numRef>
              <c:f>plot!$AE$9:$AE$29</c:f>
              <c:numCache>
                <c:formatCode>General</c:formatCode>
                <c:ptCount val="21"/>
                <c:pt idx="0">
                  <c:v>-0.61663283558984594</c:v>
                </c:pt>
                <c:pt idx="1">
                  <c:v>-0.66361746662914134</c:v>
                </c:pt>
                <c:pt idx="2">
                  <c:v>-0.61663283558984594</c:v>
                </c:pt>
                <c:pt idx="3">
                  <c:v>-0.65083484992241281</c:v>
                </c:pt>
                <c:pt idx="4">
                  <c:v>-0.69781948096170821</c:v>
                </c:pt>
                <c:pt idx="5">
                  <c:v>-0.65083484992241281</c:v>
                </c:pt>
                <c:pt idx="6">
                  <c:v>-0.68503686425497978</c:v>
                </c:pt>
                <c:pt idx="7">
                  <c:v>-0.73202149529427518</c:v>
                </c:pt>
                <c:pt idx="8">
                  <c:v>-0.68503686425497978</c:v>
                </c:pt>
                <c:pt idx="9">
                  <c:v>-0.71923887858754665</c:v>
                </c:pt>
                <c:pt idx="10">
                  <c:v>-0.76622350962684205</c:v>
                </c:pt>
                <c:pt idx="11">
                  <c:v>-0.71923887858754665</c:v>
                </c:pt>
                <c:pt idx="12">
                  <c:v>-0.75344089292011351</c:v>
                </c:pt>
                <c:pt idx="13">
                  <c:v>-0.80042552395940891</c:v>
                </c:pt>
                <c:pt idx="14">
                  <c:v>-0.75344089292011351</c:v>
                </c:pt>
                <c:pt idx="15">
                  <c:v>-0.75344089292011351</c:v>
                </c:pt>
                <c:pt idx="16">
                  <c:v>-0.80042552395940891</c:v>
                </c:pt>
                <c:pt idx="17">
                  <c:v>-0.75344089292011351</c:v>
                </c:pt>
                <c:pt idx="18">
                  <c:v>-0.75344089292011351</c:v>
                </c:pt>
                <c:pt idx="19">
                  <c:v>-0.80042552395940891</c:v>
                </c:pt>
                <c:pt idx="20">
                  <c:v>-0.75344089292011351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4B7B-44CB-8324-A764F576569B}"/>
            </c:ext>
          </c:extLst>
        </c:ser>
        <c:ser>
          <c:idx val="10"/>
          <c:order val="9"/>
          <c:tx>
            <c:v>labz</c:v>
          </c:tx>
          <c:spPr>
            <a:ln w="3175">
              <a:solidFill>
                <a:srgbClr val="C0C0C0"/>
              </a:solidFill>
              <a:prstDash val="solid"/>
            </a:ln>
          </c:spPr>
          <c:marker>
            <c:symbol val="none"/>
          </c:marker>
          <c:dLbls>
            <c:dLbl>
              <c:idx val="0"/>
              <c:layout/>
              <c:tx>
                <c:strRef>
                  <c:f>plot!$AH$9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{AE495AD5-E0C9-44CE-AF0A-BCB46B5C4335}</c15:txfldGUID>
                      <c15:f>plot!$AH$9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E-4B7B-44CB-8324-A764F576569B}"/>
                </c:ext>
              </c:extLst>
            </c:dLbl>
            <c:dLbl>
              <c:idx val="1"/>
              <c:layout/>
              <c:tx>
                <c:strRef>
                  <c:f>plot!$AH$10</c:f>
                  <c:strCache>
                    <c:ptCount val="1"/>
                    <c:pt idx="0">
                      <c:v>100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{49756991-6CB9-4D58-B7B2-42FD179537CC}</c15:txfldGUID>
                      <c15:f>plot!$AH$10</c15:f>
                      <c15:dlblFieldTableCache>
                        <c:ptCount val="1"/>
                        <c:pt idx="0">
                          <c:v>100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3F-4B7B-44CB-8324-A764F576569B}"/>
                </c:ext>
              </c:extLst>
            </c:dLbl>
            <c:dLbl>
              <c:idx val="2"/>
              <c:layout/>
              <c:tx>
                <c:strRef>
                  <c:f>plot!$AH$11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{D35B0DAC-CF88-45F1-8AEB-B8940E845472}</c15:txfldGUID>
                      <c15:f>plot!$AH$11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0-4B7B-44CB-8324-A764F576569B}"/>
                </c:ext>
              </c:extLst>
            </c:dLbl>
            <c:dLbl>
              <c:idx val="3"/>
              <c:layout/>
              <c:tx>
                <c:strRef>
                  <c:f>plot!$AH$12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{772A4033-C456-4B0B-90A5-43A38749D1F3}</c15:txfldGUID>
                      <c15:f>plot!$AH$12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1-4B7B-44CB-8324-A764F576569B}"/>
                </c:ext>
              </c:extLst>
            </c:dLbl>
            <c:dLbl>
              <c:idx val="4"/>
              <c:layout/>
              <c:tx>
                <c:strRef>
                  <c:f>plot!$AH$13</c:f>
                  <c:strCache>
                    <c:ptCount val="1"/>
                    <c:pt idx="0">
                      <c:v>200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{6FB1014A-70DB-4B06-A0A1-D0DBA3EAF53E}</c15:txfldGUID>
                      <c15:f>plot!$AH$13</c15:f>
                      <c15:dlblFieldTableCache>
                        <c:ptCount val="1"/>
                        <c:pt idx="0">
                          <c:v>200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2-4B7B-44CB-8324-A764F576569B}"/>
                </c:ext>
              </c:extLst>
            </c:dLbl>
            <c:dLbl>
              <c:idx val="5"/>
              <c:layout/>
              <c:tx>
                <c:strRef>
                  <c:f>plot!$AH$14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{962E1366-E2D7-48F1-9856-5CE14261FFCD}</c15:txfldGUID>
                      <c15:f>plot!$AH$14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3-4B7B-44CB-8324-A764F576569B}"/>
                </c:ext>
              </c:extLst>
            </c:dLbl>
            <c:dLbl>
              <c:idx val="6"/>
              <c:layout/>
              <c:tx>
                <c:strRef>
                  <c:f>plot!$AH$15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{58D8E643-EC15-40AC-A8E4-F861B658ED32}</c15:txfldGUID>
                      <c15:f>plot!$AH$15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4-4B7B-44CB-8324-A764F576569B}"/>
                </c:ext>
              </c:extLst>
            </c:dLbl>
            <c:dLbl>
              <c:idx val="7"/>
              <c:layout/>
              <c:tx>
                <c:strRef>
                  <c:f>plot!$AH$16</c:f>
                  <c:strCache>
                    <c:ptCount val="1"/>
                    <c:pt idx="0">
                      <c:v>300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{BE796A34-D39F-4C43-AE95-E5DCB6316FB4}</c15:txfldGUID>
                      <c15:f>plot!$AH$16</c15:f>
                      <c15:dlblFieldTableCache>
                        <c:ptCount val="1"/>
                        <c:pt idx="0">
                          <c:v>300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5-4B7B-44CB-8324-A764F576569B}"/>
                </c:ext>
              </c:extLst>
            </c:dLbl>
            <c:dLbl>
              <c:idx val="8"/>
              <c:layout/>
              <c:tx>
                <c:strRef>
                  <c:f>plot!$AH$17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{8EB2CD9C-761A-4478-A59A-5BC05246025C}</c15:txfldGUID>
                      <c15:f>plot!$AH$17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6-4B7B-44CB-8324-A764F576569B}"/>
                </c:ext>
              </c:extLst>
            </c:dLbl>
            <c:dLbl>
              <c:idx val="9"/>
              <c:layout/>
              <c:tx>
                <c:strRef>
                  <c:f>plot!$AH$18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{20EF6186-00E5-4F59-83CF-586BBA8D0601}</c15:txfldGUID>
                      <c15:f>plot!$AH$18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7-4B7B-44CB-8324-A764F576569B}"/>
                </c:ext>
              </c:extLst>
            </c:dLbl>
            <c:dLbl>
              <c:idx val="10"/>
              <c:layout/>
              <c:tx>
                <c:strRef>
                  <c:f>plot!$AH$19</c:f>
                  <c:strCache>
                    <c:ptCount val="1"/>
                    <c:pt idx="0">
                      <c:v>400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{ECB76AF4-05A5-4F04-8377-AE7CCE407DD3}</c15:txfldGUID>
                      <c15:f>plot!$AH$19</c15:f>
                      <c15:dlblFieldTableCache>
                        <c:ptCount val="1"/>
                        <c:pt idx="0">
                          <c:v>400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8-4B7B-44CB-8324-A764F576569B}"/>
                </c:ext>
              </c:extLst>
            </c:dLbl>
            <c:dLbl>
              <c:idx val="11"/>
              <c:layout/>
              <c:tx>
                <c:strRef>
                  <c:f>plot!$AH$20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{E1B39331-1B63-4CB7-B834-F8AF36196679}</c15:txfldGUID>
                      <c15:f>plot!$AH$20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9-4B7B-44CB-8324-A764F576569B}"/>
                </c:ext>
              </c:extLst>
            </c:dLbl>
            <c:dLbl>
              <c:idx val="12"/>
              <c:layout/>
              <c:tx>
                <c:strRef>
                  <c:f>plot!$AH$21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{CFCBA80A-BBEC-4011-BF70-4C610BC65473}</c15:txfldGUID>
                      <c15:f>plot!$AH$21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A-4B7B-44CB-8324-A764F576569B}"/>
                </c:ext>
              </c:extLst>
            </c:dLbl>
            <c:dLbl>
              <c:idx val="13"/>
              <c:layout/>
              <c:tx>
                <c:strRef>
                  <c:f>plot!$AH$22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{9889896F-5923-463F-9253-1B4531D9FD4E}</c15:txfldGUID>
                      <c15:f>plot!$AH$22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B-4B7B-44CB-8324-A764F576569B}"/>
                </c:ext>
              </c:extLst>
            </c:dLbl>
            <c:dLbl>
              <c:idx val="14"/>
              <c:layout/>
              <c:tx>
                <c:strRef>
                  <c:f>plot!$AH$23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{303499A7-CC41-48A7-8069-1D9A77B0905F}</c15:txfldGUID>
                      <c15:f>plot!$AH$23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C-4B7B-44CB-8324-A764F576569B}"/>
                </c:ext>
              </c:extLst>
            </c:dLbl>
            <c:dLbl>
              <c:idx val="15"/>
              <c:layout/>
              <c:tx>
                <c:strRef>
                  <c:f>plot!$AH$24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{4149663C-89D1-467D-8D1F-F6088DD8E25B}</c15:txfldGUID>
                      <c15:f>plot!$AH$24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D-4B7B-44CB-8324-A764F576569B}"/>
                </c:ext>
              </c:extLst>
            </c:dLbl>
            <c:dLbl>
              <c:idx val="16"/>
              <c:layout/>
              <c:tx>
                <c:strRef>
                  <c:f>plot!$AH$25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{ED89A518-26C6-4574-B4A2-40887254ACCA}</c15:txfldGUID>
                      <c15:f>plot!$AH$25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E-4B7B-44CB-8324-A764F576569B}"/>
                </c:ext>
              </c:extLst>
            </c:dLbl>
            <c:dLbl>
              <c:idx val="17"/>
              <c:layout/>
              <c:tx>
                <c:strRef>
                  <c:f>plot!$AH$26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{B73DA824-E366-4E43-A469-4B4019714536}</c15:txfldGUID>
                      <c15:f>plot!$AH$26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4F-4B7B-44CB-8324-A764F576569B}"/>
                </c:ext>
              </c:extLst>
            </c:dLbl>
            <c:dLbl>
              <c:idx val="18"/>
              <c:layout/>
              <c:tx>
                <c:strRef>
                  <c:f>plot!$AH$27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{3D2035AA-3A50-4820-AA36-0EAA77A5D752}</c15:txfldGUID>
                      <c15:f>plot!$AH$27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0-4B7B-44CB-8324-A764F576569B}"/>
                </c:ext>
              </c:extLst>
            </c:dLbl>
            <c:dLbl>
              <c:idx val="19"/>
              <c:layout/>
              <c:tx>
                <c:strRef>
                  <c:f>plot!$AH$28</c:f>
                  <c:strCache>
                    <c:ptCount val="1"/>
                    <c:pt idx="0">
                      <c:v>500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{E9E93665-9D61-4B3E-B1E4-653AFCD9FF55}</c15:txfldGUID>
                      <c15:f>plot!$AH$28</c15:f>
                      <c15:dlblFieldTableCache>
                        <c:ptCount val="1"/>
                        <c:pt idx="0">
                          <c:v>500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1-4B7B-44CB-8324-A764F576569B}"/>
                </c:ext>
              </c:extLst>
            </c:dLbl>
            <c:dLbl>
              <c:idx val="20"/>
              <c:layout/>
              <c:tx>
                <c:strRef>
                  <c:f>plot!$AH$29</c:f>
                  <c:strCache>
                    <c:ptCount val="1"/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200" b="0" i="0" u="none" strike="noStrike" baseline="0">
                      <a:solidFill>
                        <a:srgbClr val="969696"/>
                      </a:solidFill>
                      <a:latin typeface="Verdana"/>
                      <a:ea typeface="Verdana"/>
                      <a:cs typeface="Verdana"/>
                    </a:defRPr>
                  </a:pPr>
                  <a:endParaRPr lang="zh-TW"/>
                </a:p>
              </c:tx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{3F37335E-0571-402C-A663-15D7E3257754}</c15:txfldGUID>
                      <c15:f>plot!$AH$29</c15:f>
                      <c15:dlblFieldTableCache>
                        <c:ptCount val="1"/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2-4B7B-44CB-8324-A764F57656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plot!$AI$9:$AI$29</c:f>
              <c:numCache>
                <c:formatCode>General</c:formatCode>
                <c:ptCount val="21"/>
                <c:pt idx="0">
                  <c:v>0.64085638205578854</c:v>
                </c:pt>
                <c:pt idx="1">
                  <c:v>0.73482564413437945</c:v>
                </c:pt>
                <c:pt idx="2">
                  <c:v>0.64085638205578854</c:v>
                </c:pt>
                <c:pt idx="3">
                  <c:v>0.64085638205578854</c:v>
                </c:pt>
                <c:pt idx="4">
                  <c:v>0.73482564413437945</c:v>
                </c:pt>
                <c:pt idx="5">
                  <c:v>0.64085638205578854</c:v>
                </c:pt>
                <c:pt idx="6">
                  <c:v>0.64085638205578854</c:v>
                </c:pt>
                <c:pt idx="7">
                  <c:v>0.73482564413437945</c:v>
                </c:pt>
                <c:pt idx="8">
                  <c:v>0.64085638205578854</c:v>
                </c:pt>
                <c:pt idx="9">
                  <c:v>0.64085638205578854</c:v>
                </c:pt>
                <c:pt idx="10">
                  <c:v>0.73482564413437945</c:v>
                </c:pt>
                <c:pt idx="11">
                  <c:v>0.64085638205578854</c:v>
                </c:pt>
                <c:pt idx="12">
                  <c:v>0.64085638205578865</c:v>
                </c:pt>
                <c:pt idx="13">
                  <c:v>0.73482564413437956</c:v>
                </c:pt>
                <c:pt idx="14">
                  <c:v>0.64085638205578865</c:v>
                </c:pt>
                <c:pt idx="15">
                  <c:v>0.64085638205578865</c:v>
                </c:pt>
                <c:pt idx="16">
                  <c:v>0.73482564413437956</c:v>
                </c:pt>
                <c:pt idx="17">
                  <c:v>0.64085638205578865</c:v>
                </c:pt>
                <c:pt idx="18">
                  <c:v>0.64085638205578865</c:v>
                </c:pt>
                <c:pt idx="19">
                  <c:v>0.73482564413437956</c:v>
                </c:pt>
                <c:pt idx="20">
                  <c:v>0.64085638205578865</c:v>
                </c:pt>
              </c:numCache>
            </c:numRef>
          </c:xVal>
          <c:yVal>
            <c:numRef>
              <c:f>plot!$AJ$9:$AJ$29</c:f>
              <c:numCache>
                <c:formatCode>General</c:formatCode>
                <c:ptCount val="21"/>
                <c:pt idx="0">
                  <c:v>-0.1103895017702719</c:v>
                </c:pt>
                <c:pt idx="1">
                  <c:v>-0.12749050893655534</c:v>
                </c:pt>
                <c:pt idx="2">
                  <c:v>-0.1103895017702719</c:v>
                </c:pt>
                <c:pt idx="3">
                  <c:v>6.2815578986615869E-2</c:v>
                </c:pt>
                <c:pt idx="4">
                  <c:v>4.5714571820332436E-2</c:v>
                </c:pt>
                <c:pt idx="5">
                  <c:v>6.2815578986615869E-2</c:v>
                </c:pt>
                <c:pt idx="6">
                  <c:v>0.23602065974350361</c:v>
                </c:pt>
                <c:pt idx="7">
                  <c:v>0.21891965257722018</c:v>
                </c:pt>
                <c:pt idx="8">
                  <c:v>0.23602065974350361</c:v>
                </c:pt>
                <c:pt idx="9">
                  <c:v>0.4092257405003914</c:v>
                </c:pt>
                <c:pt idx="10">
                  <c:v>0.39212473333410797</c:v>
                </c:pt>
                <c:pt idx="11">
                  <c:v>0.4092257405003914</c:v>
                </c:pt>
                <c:pt idx="12">
                  <c:v>0.58243082125727907</c:v>
                </c:pt>
                <c:pt idx="13">
                  <c:v>0.5653298140909957</c:v>
                </c:pt>
                <c:pt idx="14">
                  <c:v>0.58243082125727907</c:v>
                </c:pt>
                <c:pt idx="15">
                  <c:v>0.58243082125727907</c:v>
                </c:pt>
                <c:pt idx="16">
                  <c:v>0.5653298140909957</c:v>
                </c:pt>
                <c:pt idx="17">
                  <c:v>0.58243082125727907</c:v>
                </c:pt>
                <c:pt idx="18">
                  <c:v>0.58243082125727907</c:v>
                </c:pt>
                <c:pt idx="19">
                  <c:v>0.5653298140909957</c:v>
                </c:pt>
                <c:pt idx="20">
                  <c:v>0.58243082125727907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3-4B7B-44CB-8324-A764F576569B}"/>
            </c:ext>
          </c:extLst>
        </c:ser>
        <c:ser>
          <c:idx val="2"/>
          <c:order val="10"/>
          <c:tx>
            <c:v>data</c:v>
          </c:tx>
          <c:spPr>
            <a:ln w="28575">
              <a:noFill/>
            </a:ln>
          </c:spPr>
          <c:marker>
            <c:symbol val="circle"/>
            <c:size val="12"/>
            <c:spPr>
              <a:solidFill>
                <a:srgbClr val="0000D4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Lbls>
            <c:dLbl>
              <c:idx val="0"/>
              <c:layout/>
              <c:tx>
                <c:strRef>
                  <c:f>plot!$B$33</c:f>
                  <c:strCache>
                    <c:ptCount val="1"/>
                    <c:pt idx="0">
                      <c:v>A4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{D7423E35-A674-4544-94C9-90A60CB88501}</c15:txfldGUID>
                      <c15:f>plot!$B$33</c15:f>
                      <c15:dlblFieldTableCache>
                        <c:ptCount val="1"/>
                        <c:pt idx="0">
                          <c:v>A4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4-4B7B-44CB-8324-A764F576569B}"/>
                </c:ext>
              </c:extLst>
            </c:dLbl>
            <c:dLbl>
              <c:idx val="1"/>
              <c:layout/>
              <c:tx>
                <c:strRef>
                  <c:f>plot!$B$34</c:f>
                  <c:strCache>
                    <c:ptCount val="1"/>
                    <c:pt idx="0">
                      <c:v>A1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{C0FE2F9B-7670-4883-BB25-4A2893A5B3FE}</c15:txfldGUID>
                      <c15:f>plot!$B$34</c15:f>
                      <c15:dlblFieldTableCache>
                        <c:ptCount val="1"/>
                        <c:pt idx="0">
                          <c:v>A1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5-4B7B-44CB-8324-A764F576569B}"/>
                </c:ext>
              </c:extLst>
            </c:dLbl>
            <c:dLbl>
              <c:idx val="2"/>
              <c:layout/>
              <c:tx>
                <c:strRef>
                  <c:f>plot!$B$35</c:f>
                  <c:strCache>
                    <c:ptCount val="1"/>
                    <c:pt idx="0">
                      <c:v>A3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{915AEA4E-E95F-4A31-AF5F-A3188208EF4F}</c15:txfldGUID>
                      <c15:f>plot!$B$35</c15:f>
                      <c15:dlblFieldTableCache>
                        <c:ptCount val="1"/>
                        <c:pt idx="0">
                          <c:v>A3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6-4B7B-44CB-8324-A764F576569B}"/>
                </c:ext>
              </c:extLst>
            </c:dLbl>
            <c:dLbl>
              <c:idx val="3"/>
              <c:layout/>
              <c:tx>
                <c:strRef>
                  <c:f>plot!$B$36</c:f>
                  <c:strCache>
                    <c:ptCount val="1"/>
                    <c:pt idx="0">
                      <c:v>A2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{B56A3ADB-F8A1-4F57-8CFC-BB540AF89CCE}</c15:txfldGUID>
                      <c15:f>plot!$B$36</c15:f>
                      <c15:dlblFieldTableCache>
                        <c:ptCount val="1"/>
                        <c:pt idx="0">
                          <c:v>A2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7-4B7B-44CB-8324-A764F576569B}"/>
                </c:ext>
              </c:extLst>
            </c:dLbl>
            <c:dLbl>
              <c:idx val="4"/>
              <c:layout/>
              <c:tx>
                <c:strRef>
                  <c:f>plot!$B$37</c:f>
                  <c:strCache>
                    <c:ptCount val="1"/>
                    <c:pt idx="0">
                      <c:v>tag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{6B289F5F-EDBB-4A7E-AE92-4352570FE756}</c15:txfldGUID>
                      <c15:f>plot!$B$37</c15:f>
                      <c15:dlblFieldTableCache>
                        <c:ptCount val="1"/>
                        <c:pt idx="0">
                          <c:v>tag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8-4B7B-44CB-8324-A764F576569B}"/>
                </c:ext>
              </c:extLst>
            </c:dLbl>
            <c:dLbl>
              <c:idx val="5"/>
              <c:layout/>
              <c:tx>
                <c:strRef>
                  <c:f>plot!$B$38</c:f>
                  <c:strCache>
                    <c:ptCount val="1"/>
                    <c:pt idx="0">
                      <c:v>z=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{8C0F7E11-C8C1-474D-BDB8-7CF8DEA6E5C2}</c15:txfldGUID>
                      <c15:f>plot!$B$38</c15:f>
                      <c15:dlblFieldTableCache>
                        <c:ptCount val="1"/>
                        <c:pt idx="0">
                          <c:v>z=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9-4B7B-44CB-8324-A764F576569B}"/>
                </c:ext>
              </c:extLst>
            </c:dLbl>
            <c:dLbl>
              <c:idx val="6"/>
              <c:layout/>
              <c:tx>
                <c:strRef>
                  <c:f>plot!$B$39</c:f>
                  <c:strCache>
                    <c:ptCount val="1"/>
                    <c:pt idx="0">
                      <c:v>z=</c:v>
                    </c:pt>
                  </c:strCache>
                </c:strRef>
              </c:tx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808080"/>
                      </a:solidFill>
                      <a:latin typeface="Arial Narrow"/>
                      <a:ea typeface="Arial Narrow"/>
                      <a:cs typeface="Arial Narrow"/>
                    </a:defRPr>
                  </a:pPr>
                  <a:endParaRPr lang="zh-TW"/>
                </a:p>
              </c:tx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>
                    <c15:dlblFTEntry>
                      <c15:txfldGUID>{47A608A2-4298-4564-84E8-C4B12C63EF07}</c15:txfldGUID>
                      <c15:f>plot!$B$39</c15:f>
                      <c15:dlblFieldTableCache>
                        <c:ptCount val="1"/>
                        <c:pt idx="0">
                          <c:v>z=</c:v>
                        </c:pt>
                      </c15:dlblFieldTableCache>
                    </c15:dlblFTEntry>
                  </c15:dlblFieldTable>
                  <c15:showDataLabelsRange val="0"/>
                </c:ext>
                <c:ext xmlns:c16="http://schemas.microsoft.com/office/drawing/2014/chart" uri="{C3380CC4-5D6E-409C-BE32-E72D297353CC}">
                  <c16:uniqueId val="{0000005A-4B7B-44CB-8324-A764F576569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errBars>
            <c:errDir val="y"/>
            <c:errBarType val="minus"/>
            <c:errValType val="cust"/>
            <c:noEndCap val="1"/>
            <c:minus>
              <c:numRef>
                <c:f>plot!$G$33:$G$39</c:f>
                <c:numCache>
                  <c:formatCode>General</c:formatCode>
                  <c:ptCount val="7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</c:numCache>
              </c:numRef>
            </c:minus>
            <c:spPr>
              <a:ln w="127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plot!$K$33:$K$39</c:f>
              <c:numCache>
                <c:formatCode>General</c:formatCode>
                <c:ptCount val="7"/>
                <c:pt idx="0">
                  <c:v>-0.29883623873011983</c:v>
                </c:pt>
                <c:pt idx="1">
                  <c:v>-0.64085638205578843</c:v>
                </c:pt>
                <c:pt idx="2">
                  <c:v>0.64085638205578865</c:v>
                </c:pt>
                <c:pt idx="3">
                  <c:v>0.29883623873011983</c:v>
                </c:pt>
                <c:pt idx="4">
                  <c:v>2.5452767895132657E-2</c:v>
                </c:pt>
                <c:pt idx="5">
                  <c:v>-0.29883623873011983</c:v>
                </c:pt>
                <c:pt idx="6">
                  <c:v>-0.29883623873011983</c:v>
                </c:pt>
              </c:numCache>
            </c:numRef>
          </c:xVal>
          <c:yVal>
            <c:numRef>
              <c:f>plot!$L$33:$L$39</c:f>
              <c:numCache>
                <c:formatCode>General</c:formatCode>
                <c:ptCount val="7"/>
                <c:pt idx="0">
                  <c:v>-0.11258451086432519</c:v>
                </c:pt>
                <c:pt idx="1">
                  <c:v>0.28359458252715963</c:v>
                </c:pt>
                <c:pt idx="2">
                  <c:v>0.58243082125727907</c:v>
                </c:pt>
                <c:pt idx="3">
                  <c:v>0.11258451086432519</c:v>
                </c:pt>
                <c:pt idx="4">
                  <c:v>-0.21385345900799999</c:v>
                </c:pt>
                <c:pt idx="5">
                  <c:v>-0.11258451086432519</c:v>
                </c:pt>
                <c:pt idx="6">
                  <c:v>-0.11258451086432519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5B-4B7B-44CB-8324-A764F5765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7619088"/>
        <c:axId val="2047607120"/>
      </c:scatterChart>
      <c:valAx>
        <c:axId val="2047619088"/>
        <c:scaling>
          <c:orientation val="minMax"/>
          <c:max val="1.1000000000000001"/>
          <c:min val="-1.1000000000000001"/>
        </c:scaling>
        <c:delete val="1"/>
        <c:axPos val="b"/>
        <c:numFmt formatCode="General" sourceLinked="1"/>
        <c:majorTickMark val="out"/>
        <c:minorTickMark val="none"/>
        <c:tickLblPos val="nextTo"/>
        <c:crossAx val="2047607120"/>
        <c:crosses val="autoZero"/>
        <c:crossBetween val="midCat"/>
      </c:valAx>
      <c:valAx>
        <c:axId val="2047607120"/>
        <c:scaling>
          <c:orientation val="minMax"/>
          <c:max val="1.1000000000000001"/>
          <c:min val="-1.1000000000000001"/>
        </c:scaling>
        <c:delete val="1"/>
        <c:axPos val="l"/>
        <c:numFmt formatCode="General" sourceLinked="1"/>
        <c:majorTickMark val="out"/>
        <c:minorTickMark val="none"/>
        <c:tickLblPos val="nextTo"/>
        <c:crossAx val="2047619088"/>
        <c:crosses val="autoZero"/>
        <c:crossBetween val="midCat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C0C0C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Verdana"/>
          <a:ea typeface="Verdana"/>
          <a:cs typeface="Verdana"/>
        </a:defRPr>
      </a:pPr>
      <a:endParaRPr lang="zh-TW"/>
    </a:p>
  </c:txPr>
  <c:printSettings>
    <c:headerFooter/>
    <c:pageMargins b="1" l="0.75" r="0.75" t="1" header="0.5" footer="0.5"/>
    <c:pageSetup/>
  </c:printSettings>
  <c:userShapes r:id="rId1"/>
</c:chartSpace>
</file>

<file path=xl/ctrlProps/ctrlProp1.xml><?xml version="1.0" encoding="utf-8"?>
<formControlPr xmlns="http://schemas.microsoft.com/office/spreadsheetml/2009/9/main" objectType="Scroll" dx="16" fmlaLink="$C$13" horiz="1" max="360" page="10" val="120"/>
</file>

<file path=xl/ctrlProps/ctrlProp2.xml><?xml version="1.0" encoding="utf-8"?>
<formControlPr xmlns="http://schemas.microsoft.com/office/spreadsheetml/2009/9/main" objectType="Scroll" dx="16" fmlaLink="$D$13" horiz="1" max="360" page="10" val="180"/>
</file>

<file path=xl/ctrlProps/ctrlProp3.xml><?xml version="1.0" encoding="utf-8"?>
<formControlPr xmlns="http://schemas.microsoft.com/office/spreadsheetml/2009/9/main" objectType="Scroll" dx="16" fmlaLink="$E$13" horiz="1" max="360" page="10" val="70"/>
</file>

<file path=xl/ctrlProps/ctrlProp4.xml><?xml version="1.0" encoding="utf-8"?>
<formControlPr xmlns="http://schemas.microsoft.com/office/spreadsheetml/2009/9/main" objectType="Scroll" dx="16" fmlaLink="$C$14" horiz="1" max="100" page="10" val="0"/>
</file>

<file path=xl/ctrlProps/ctrlProp5.xml><?xml version="1.0" encoding="utf-8"?>
<formControlPr xmlns="http://schemas.microsoft.com/office/spreadsheetml/2009/9/main" objectType="Scroll" dx="16" fmlaLink="$D$14" horiz="1" max="100" page="10" val="0"/>
</file>

<file path=xl/ctrlProps/ctrlProp6.xml><?xml version="1.0" encoding="utf-8"?>
<formControlPr xmlns="http://schemas.microsoft.com/office/spreadsheetml/2009/9/main" objectType="Scroll" dx="16" fmlaLink="$E$14" horiz="1" max="100" page="10" val="0"/>
</file>

<file path=xl/ctrlProps/ctrlProp7.xml><?xml version="1.0" encoding="utf-8"?>
<formControlPr xmlns="http://schemas.microsoft.com/office/spreadsheetml/2009/9/main" objectType="Scroll" dx="16" fmlaLink="$C$26" horiz="1" max="100" page="10" val="0"/>
</file>

<file path=xl/ctrlProps/ctrlProp8.xml><?xml version="1.0" encoding="utf-8"?>
<formControlPr xmlns="http://schemas.microsoft.com/office/spreadsheetml/2009/9/main" objectType="Scroll" dx="16" fmlaLink="$D$26" horiz="1" max="100" page="10" val="50"/>
</file>

<file path=xl/ctrlProps/ctrlProp9.xml><?xml version="1.0" encoding="utf-8"?>
<formControlPr xmlns="http://schemas.microsoft.com/office/spreadsheetml/2009/9/main" objectType="Scroll" dx="16" fmlaLink="$E$26" horiz="1" max="100" page="10" val="50"/>
</file>

<file path=xl/ctrlProps/ctrlProp10.xml><?xml version="1.0" encoding="utf-8"?>
<formControlPr xmlns="http://schemas.microsoft.com/office/spreadsheetml/2009/9/main" objectType="CheckBox" fmlaLink="$D$23" lockText="1" noThreeD="1"/>
</file>

<file path=xl/ctrlProps/ctrlProp11.xml><?xml version="1.0" encoding="utf-8"?>
<formControlPr xmlns="http://schemas.microsoft.com/office/spreadsheetml/2009/9/main" objectType="CheckBox" fmlaLink="$D$19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419100</xdr:colOff>
      <xdr:row>9</xdr:row>
      <xdr:rowOff>88900</xdr:rowOff>
    </xdr:from>
    <xdr:to>
      <xdr:col>0</xdr:col>
      <xdr:colOff>10922000</xdr:colOff>
      <xdr:row>71</xdr:row>
      <xdr:rowOff>25400</xdr:rowOff>
    </xdr:to>
    <xdr:graphicFrame macro="">
      <xdr:nvGraphicFramePr>
        <xdr:cNvPr id="44590" name="Diagramm 2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9</xdr:row>
          <xdr:rowOff>12700</xdr:rowOff>
        </xdr:from>
        <xdr:to>
          <xdr:col>5</xdr:col>
          <xdr:colOff>952500</xdr:colOff>
          <xdr:row>10</xdr:row>
          <xdr:rowOff>0</xdr:rowOff>
        </xdr:to>
        <xdr:sp macro="" textlink="">
          <xdr:nvSpPr>
            <xdr:cNvPr id="1069" name="Slider rot x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10</xdr:row>
          <xdr:rowOff>0</xdr:rowOff>
        </xdr:from>
        <xdr:to>
          <xdr:col>5</xdr:col>
          <xdr:colOff>952500</xdr:colOff>
          <xdr:row>10</xdr:row>
          <xdr:rowOff>190500</xdr:rowOff>
        </xdr:to>
        <xdr:sp macro="" textlink="">
          <xdr:nvSpPr>
            <xdr:cNvPr id="1070" name="Slider rot y" hidden="1">
              <a:extLst>
                <a:ext uri="{63B3BB69-23CF-44E3-9099-C40C66FF867C}">
                  <a14:compatExt spid="_x0000_s10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11</xdr:row>
          <xdr:rowOff>0</xdr:rowOff>
        </xdr:from>
        <xdr:to>
          <xdr:col>5</xdr:col>
          <xdr:colOff>952500</xdr:colOff>
          <xdr:row>11</xdr:row>
          <xdr:rowOff>190500</xdr:rowOff>
        </xdr:to>
        <xdr:sp macro="" textlink="">
          <xdr:nvSpPr>
            <xdr:cNvPr id="1071" name="Slider rot z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15</xdr:row>
          <xdr:rowOff>0</xdr:rowOff>
        </xdr:from>
        <xdr:to>
          <xdr:col>5</xdr:col>
          <xdr:colOff>952500</xdr:colOff>
          <xdr:row>15</xdr:row>
          <xdr:rowOff>190500</xdr:rowOff>
        </xdr:to>
        <xdr:sp macro="" textlink="">
          <xdr:nvSpPr>
            <xdr:cNvPr id="1072" name="Slider proj x" hidden="1">
              <a:extLst>
                <a:ext uri="{63B3BB69-23CF-44E3-9099-C40C66FF867C}">
                  <a14:compatExt spid="_x0000_s10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16</xdr:row>
          <xdr:rowOff>0</xdr:rowOff>
        </xdr:from>
        <xdr:to>
          <xdr:col>5</xdr:col>
          <xdr:colOff>952500</xdr:colOff>
          <xdr:row>16</xdr:row>
          <xdr:rowOff>190500</xdr:rowOff>
        </xdr:to>
        <xdr:sp macro="" textlink="">
          <xdr:nvSpPr>
            <xdr:cNvPr id="1073" name="Slider proj y" hidden="1">
              <a:extLst>
                <a:ext uri="{63B3BB69-23CF-44E3-9099-C40C66FF867C}">
                  <a14:compatExt spid="_x0000_s1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17</xdr:row>
          <xdr:rowOff>0</xdr:rowOff>
        </xdr:from>
        <xdr:to>
          <xdr:col>5</xdr:col>
          <xdr:colOff>952500</xdr:colOff>
          <xdr:row>17</xdr:row>
          <xdr:rowOff>190500</xdr:rowOff>
        </xdr:to>
        <xdr:sp macro="" textlink="">
          <xdr:nvSpPr>
            <xdr:cNvPr id="1074" name="Slider proj z" hidden="1">
              <a:extLst>
                <a:ext uri="{63B3BB69-23CF-44E3-9099-C40C66FF867C}">
                  <a14:compatExt spid="_x0000_s1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19</xdr:row>
          <xdr:rowOff>12700</xdr:rowOff>
        </xdr:from>
        <xdr:to>
          <xdr:col>5</xdr:col>
          <xdr:colOff>952500</xdr:colOff>
          <xdr:row>20</xdr:row>
          <xdr:rowOff>0</xdr:rowOff>
        </xdr:to>
        <xdr:sp macro="" textlink="">
          <xdr:nvSpPr>
            <xdr:cNvPr id="1125" name="Slider zoom" hidden="1">
              <a:extLst>
                <a:ext uri="{63B3BB69-23CF-44E3-9099-C40C66FF867C}">
                  <a14:compatExt spid="_x0000_s1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20</xdr:row>
          <xdr:rowOff>0</xdr:rowOff>
        </xdr:from>
        <xdr:to>
          <xdr:col>5</xdr:col>
          <xdr:colOff>952500</xdr:colOff>
          <xdr:row>20</xdr:row>
          <xdr:rowOff>190500</xdr:rowOff>
        </xdr:to>
        <xdr:sp macro="" textlink="">
          <xdr:nvSpPr>
            <xdr:cNvPr id="1126" name="Slider shift x" hidden="1">
              <a:extLst>
                <a:ext uri="{63B3BB69-23CF-44E3-9099-C40C66FF867C}">
                  <a14:compatExt spid="_x0000_s1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31750</xdr:colOff>
          <xdr:row>21</xdr:row>
          <xdr:rowOff>12700</xdr:rowOff>
        </xdr:from>
        <xdr:to>
          <xdr:col>5</xdr:col>
          <xdr:colOff>952500</xdr:colOff>
          <xdr:row>22</xdr:row>
          <xdr:rowOff>0</xdr:rowOff>
        </xdr:to>
        <xdr:sp macro="" textlink="">
          <xdr:nvSpPr>
            <xdr:cNvPr id="1128" name="Slider shift y" hidden="1">
              <a:extLst>
                <a:ext uri="{63B3BB69-23CF-44E3-9099-C40C66FF867C}">
                  <a14:compatExt spid="_x0000_s11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21</xdr:row>
          <xdr:rowOff>184150</xdr:rowOff>
        </xdr:from>
        <xdr:to>
          <xdr:col>3</xdr:col>
          <xdr:colOff>260350</xdr:colOff>
          <xdr:row>23</xdr:row>
          <xdr:rowOff>38100</xdr:rowOff>
        </xdr:to>
        <xdr:sp macro="" textlink="">
          <xdr:nvSpPr>
            <xdr:cNvPr id="1225" name="ToscaleSwitch" hidden="1">
              <a:extLst>
                <a:ext uri="{63B3BB69-23CF-44E3-9099-C40C66FF867C}">
                  <a14:compatExt spid="_x0000_s1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to-scale axes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127000</xdr:colOff>
      <xdr:row>24</xdr:row>
      <xdr:rowOff>101600</xdr:rowOff>
    </xdr:from>
    <xdr:to>
      <xdr:col>1</xdr:col>
      <xdr:colOff>901700</xdr:colOff>
      <xdr:row>25</xdr:row>
      <xdr:rowOff>177800</xdr:rowOff>
    </xdr:to>
    <xdr:sp macro="[0]!RestoreView" textlink="">
      <xdr:nvSpPr>
        <xdr:cNvPr id="44103" name="AutoShape 71"/>
        <xdr:cNvSpPr>
          <a:spLocks noChangeArrowheads="1"/>
        </xdr:cNvSpPr>
      </xdr:nvSpPr>
      <xdr:spPr bwMode="auto">
        <a:xfrm>
          <a:off x="13220700" y="4635500"/>
          <a:ext cx="774700" cy="279400"/>
        </a:xfrm>
        <a:prstGeom prst="roundRect">
          <a:avLst>
            <a:gd name="adj" fmla="val 37931"/>
          </a:avLst>
        </a:prstGeom>
        <a:solidFill>
          <a:srgbClr val="7FB5F0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>
          <a:outerShdw blurRad="63500" dist="53882" dir="2700000" algn="ctr" rotWithShape="0">
            <a:srgbClr val="000000">
              <a:alpha val="74998"/>
            </a:srgbClr>
          </a:outerShdw>
        </a:effec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pl-PL" sz="1200" b="1" i="0" u="none" strike="noStrike" baseline="0">
              <a:solidFill>
                <a:srgbClr val="000000"/>
              </a:solidFill>
              <a:latin typeface="Arial Narrow"/>
              <a:ea typeface="Arial Narrow"/>
              <a:cs typeface="Arial Narrow"/>
            </a:rPr>
            <a:t>reset view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717550</xdr:colOff>
          <xdr:row>17</xdr:row>
          <xdr:rowOff>190500</xdr:rowOff>
        </xdr:from>
        <xdr:to>
          <xdr:col>2</xdr:col>
          <xdr:colOff>908050</xdr:colOff>
          <xdr:row>19</xdr:row>
          <xdr:rowOff>0</xdr:rowOff>
        </xdr:to>
        <xdr:sp macro="" textlink="">
          <xdr:nvSpPr>
            <xdr:cNvPr id="44104" name="ZdropLines" hidden="1">
              <a:extLst>
                <a:ext uri="{63B3BB69-23CF-44E3-9099-C40C66FF867C}">
                  <a14:compatExt spid="_x0000_s44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27432" anchor="ctr" upright="1"/>
            <a:lstStyle/>
            <a:p>
              <a:pPr algn="l" rtl="0">
                <a:defRPr sz="1000"/>
              </a:pPr>
              <a:r>
                <a:rPr lang="zh-TW" altLang="en-US" sz="1000" b="0" i="0" u="none" strike="noStrike" baseline="0">
                  <a:solidFill>
                    <a:srgbClr val="000000"/>
                  </a:solidFill>
                  <a:latin typeface="Geneva"/>
                </a:rPr>
                <a:t>z drop lines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0.00483</cdr:x>
      <cdr:y>0.00463</cdr:y>
    </cdr:from>
    <cdr:to>
      <cdr:x>0.0338</cdr:x>
      <cdr:y>0.99537</cdr:y>
    </cdr:to>
    <cdr:sp macro="" textlink="">
      <cdr:nvSpPr>
        <cdr:cNvPr id="2049" name="Rectangle 1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304610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0.9662</cdr:x>
      <cdr:y>0.00463</cdr:y>
    </cdr:from>
    <cdr:to>
      <cdr:x>0.99517</cdr:x>
      <cdr:y>0.99537</cdr:y>
    </cdr:to>
    <cdr:sp macro="" textlink="">
      <cdr:nvSpPr>
        <cdr:cNvPr id="2050" name="Rectangle 2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0160191" y="50800"/>
          <a:ext cx="304609" cy="10871200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0.01845</cdr:x>
      <cdr:y>0.00463</cdr:y>
    </cdr:from>
    <cdr:to>
      <cdr:x>0.99517</cdr:x>
      <cdr:y>0.03831</cdr:y>
    </cdr:to>
    <cdr:sp macro="" textlink="">
      <cdr:nvSpPr>
        <cdr:cNvPr id="2052" name="Rectangle 4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44586" y="-4899793"/>
          <a:ext cx="369621" cy="10270807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  <cdr:relSizeAnchor xmlns:cdr="http://schemas.openxmlformats.org/drawingml/2006/chartDrawing">
    <cdr:from>
      <cdr:x>0.01449</cdr:x>
      <cdr:y>0.96193</cdr:y>
    </cdr:from>
    <cdr:to>
      <cdr:x>0.99393</cdr:x>
      <cdr:y>0.99537</cdr:y>
    </cdr:to>
    <cdr:sp macro="" textlink="">
      <cdr:nvSpPr>
        <cdr:cNvPr id="2053" name="Rectangle 5"/>
        <cdr:cNvSpPr>
          <a:spLocks xmlns:a="http://schemas.openxmlformats.org/drawingml/2006/main" noChangeArrowheads="1"/>
        </cdr:cNvSpPr>
      </cdr:nvSpPr>
      <cdr:spPr bwMode="auto">
        <a:xfrm xmlns:a="http://schemas.openxmlformats.org/drawingml/2006/main" rot="-5400000">
          <a:off x="5118608" y="5588826"/>
          <a:ext cx="366903" cy="10299446"/>
        </a:xfrm>
        <a:prstGeom xmlns:a="http://schemas.openxmlformats.org/drawingml/2006/main" prst="rect">
          <a:avLst/>
        </a:prstGeom>
        <a:solidFill xmlns:a="http://schemas.openxmlformats.org/drawingml/2006/main">
          <a:srgbClr xmlns:mc="http://schemas.openxmlformats.org/markup-compatibility/2006" xmlns:a14="http://schemas.microsoft.com/office/drawing/2010/main" val="FFFFFF" mc:Ignorable="a14" a14:legacySpreadsheetColorIndex="9"/>
        </a:solidFill>
        <a:ln xmlns:a="http://schemas.openxmlformats.org/drawingml/2006/main">
          <a:noFill/>
        </a:ln>
        <a:extLst xmlns:a="http://schemas.openxmlformats.org/drawingml/2006/main">
          <a:ext uri="{91240B29-F687-4f45-9708-019B960494DF}">
            <a14:hiddenLine xmlns=""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de-DE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3560;&#24515;&#23560;&#38988;/2019.3.4&#31934;&#31777;&#29256;/&#21407;&#27171;/&#26032;&#22686;&#36039;&#26009;&#22846;/PLX-DAQ-v2.1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mple Data"/>
      <sheetName val="Further sheet"/>
      <sheetName val="PLXDAQ_new_Settings"/>
    </sheetNames>
    <sheetDataSet>
      <sheetData sheetId="0">
        <row r="1">
          <cell r="C1" t="str">
            <v>R1 LABEL</v>
          </cell>
          <cell r="D1" t="str">
            <v>R2 LABEL</v>
          </cell>
          <cell r="E1" t="str">
            <v>R3 LABEL</v>
          </cell>
          <cell r="F1" t="str">
            <v>R4 LABEL</v>
          </cell>
        </row>
        <row r="2">
          <cell r="C2">
            <v>119.6</v>
          </cell>
          <cell r="D2">
            <v>364.6</v>
          </cell>
          <cell r="E2">
            <v>221.7</v>
          </cell>
          <cell r="F2">
            <v>216.7</v>
          </cell>
        </row>
        <row r="3">
          <cell r="C3">
            <v>119.6</v>
          </cell>
          <cell r="D3">
            <v>292</v>
          </cell>
          <cell r="E3">
            <v>221.7</v>
          </cell>
          <cell r="F3">
            <v>268.60000000000002</v>
          </cell>
        </row>
        <row r="4">
          <cell r="C4">
            <v>119.6</v>
          </cell>
          <cell r="D4">
            <v>2562.4</v>
          </cell>
          <cell r="E4">
            <v>358.1</v>
          </cell>
          <cell r="F4">
            <v>268.60000000000002</v>
          </cell>
        </row>
        <row r="5">
          <cell r="C5">
            <v>119.6</v>
          </cell>
          <cell r="D5">
            <v>3237.1</v>
          </cell>
          <cell r="E5">
            <v>358.1</v>
          </cell>
          <cell r="F5">
            <v>268.60000000000002</v>
          </cell>
        </row>
        <row r="6">
          <cell r="C6">
            <v>119.6</v>
          </cell>
          <cell r="D6">
            <v>311.89999999999998</v>
          </cell>
          <cell r="E6">
            <v>358.1</v>
          </cell>
          <cell r="F6">
            <v>268.60000000000002</v>
          </cell>
        </row>
        <row r="7">
          <cell r="C7">
            <v>119.6</v>
          </cell>
          <cell r="D7">
            <v>229</v>
          </cell>
          <cell r="E7">
            <v>222.5</v>
          </cell>
          <cell r="F7">
            <v>274</v>
          </cell>
        </row>
        <row r="8">
          <cell r="C8">
            <v>119.6</v>
          </cell>
          <cell r="D8">
            <v>249.9</v>
          </cell>
          <cell r="E8">
            <v>230.1</v>
          </cell>
          <cell r="F8">
            <v>274</v>
          </cell>
        </row>
        <row r="9">
          <cell r="C9">
            <v>119.6</v>
          </cell>
          <cell r="D9">
            <v>229</v>
          </cell>
          <cell r="E9">
            <v>230.1</v>
          </cell>
          <cell r="F9">
            <v>274</v>
          </cell>
        </row>
        <row r="10">
          <cell r="C10">
            <v>-80</v>
          </cell>
          <cell r="D10">
            <v>338.2</v>
          </cell>
          <cell r="E10">
            <v>230.1</v>
          </cell>
          <cell r="F10">
            <v>274</v>
          </cell>
        </row>
        <row r="11">
          <cell r="C11">
            <v>3366.8</v>
          </cell>
          <cell r="D11">
            <v>338.2</v>
          </cell>
          <cell r="E11">
            <v>230.1</v>
          </cell>
          <cell r="F11">
            <v>274</v>
          </cell>
        </row>
        <row r="12">
          <cell r="C12">
            <v>3366.8</v>
          </cell>
          <cell r="D12">
            <v>252.3</v>
          </cell>
          <cell r="E12">
            <v>227.6</v>
          </cell>
          <cell r="F12">
            <v>274</v>
          </cell>
        </row>
        <row r="13">
          <cell r="C13">
            <v>3366.8</v>
          </cell>
          <cell r="D13">
            <v>252.3</v>
          </cell>
          <cell r="E13">
            <v>227.6</v>
          </cell>
          <cell r="F13">
            <v>274</v>
          </cell>
        </row>
        <row r="14">
          <cell r="C14">
            <v>3366.8</v>
          </cell>
          <cell r="D14">
            <v>356.5</v>
          </cell>
          <cell r="E14">
            <v>227.6</v>
          </cell>
          <cell r="F14">
            <v>257.89999999999998</v>
          </cell>
        </row>
        <row r="15">
          <cell r="C15">
            <v>182.8</v>
          </cell>
          <cell r="D15">
            <v>356.5</v>
          </cell>
          <cell r="E15">
            <v>259.10000000000002</v>
          </cell>
          <cell r="F15">
            <v>257.89999999999998</v>
          </cell>
        </row>
        <row r="16">
          <cell r="C16">
            <v>182.8</v>
          </cell>
          <cell r="D16">
            <v>356.5</v>
          </cell>
          <cell r="E16">
            <v>259.10000000000002</v>
          </cell>
          <cell r="F16">
            <v>257.89999999999998</v>
          </cell>
        </row>
        <row r="17">
          <cell r="C17">
            <v>329.2</v>
          </cell>
          <cell r="D17">
            <v>264.8</v>
          </cell>
          <cell r="E17">
            <v>2681.5</v>
          </cell>
          <cell r="F17">
            <v>224.5</v>
          </cell>
        </row>
        <row r="18">
          <cell r="C18">
            <v>329.2</v>
          </cell>
          <cell r="D18">
            <v>219.8</v>
          </cell>
          <cell r="E18">
            <v>2681.5</v>
          </cell>
          <cell r="F18">
            <v>224.5</v>
          </cell>
        </row>
        <row r="19">
          <cell r="C19">
            <v>329.2</v>
          </cell>
          <cell r="D19">
            <v>219.8</v>
          </cell>
          <cell r="E19">
            <v>2681.5</v>
          </cell>
          <cell r="F19">
            <v>224.5</v>
          </cell>
        </row>
        <row r="20">
          <cell r="C20">
            <v>329.2</v>
          </cell>
          <cell r="D20">
            <v>244.6</v>
          </cell>
          <cell r="E20">
            <v>2681.5</v>
          </cell>
          <cell r="F20">
            <v>224.5</v>
          </cell>
        </row>
        <row r="21">
          <cell r="C21">
            <v>329.2</v>
          </cell>
          <cell r="D21">
            <v>244.6</v>
          </cell>
          <cell r="E21">
            <v>2681.5</v>
          </cell>
          <cell r="F21">
            <v>224.5</v>
          </cell>
        </row>
        <row r="22">
          <cell r="C22">
            <v>329.2</v>
          </cell>
          <cell r="D22">
            <v>229</v>
          </cell>
          <cell r="E22">
            <v>2681.5</v>
          </cell>
          <cell r="F22">
            <v>224.5</v>
          </cell>
        </row>
        <row r="23">
          <cell r="C23">
            <v>329.2</v>
          </cell>
          <cell r="D23">
            <v>339.6</v>
          </cell>
          <cell r="E23">
            <v>292.89999999999998</v>
          </cell>
          <cell r="F23">
            <v>224.5</v>
          </cell>
        </row>
        <row r="24">
          <cell r="C24">
            <v>329.2</v>
          </cell>
          <cell r="D24">
            <v>216.3</v>
          </cell>
          <cell r="E24">
            <v>292.89999999999998</v>
          </cell>
          <cell r="F24">
            <v>238.1</v>
          </cell>
        </row>
        <row r="25">
          <cell r="C25">
            <v>329.2</v>
          </cell>
          <cell r="D25">
            <v>227.1</v>
          </cell>
          <cell r="E25">
            <v>292.89999999999998</v>
          </cell>
          <cell r="F25">
            <v>238.1</v>
          </cell>
        </row>
      </sheetData>
      <sheetData sheetId="1"/>
      <sheetData sheetId="2"/>
    </sheetDataSet>
  </externalBook>
</externalLink>
</file>

<file path=xl/tables/table1.xml><?xml version="1.0" encoding="utf-8"?>
<table xmlns="http://schemas.openxmlformats.org/spreadsheetml/2006/main" id="1" name="scatterlist" displayName="scatterlist" ref="B32:R39" totalsRowShown="0">
  <tableColumns count="17">
    <tableColumn id="1" name="labels" dataDxfId="16"/>
    <tableColumn id="2" name="x-value" dataDxfId="15"/>
    <tableColumn id="3" name="y-value" dataDxfId="14"/>
    <tableColumn id="4" name="z-value" dataDxfId="13"/>
    <tableColumn id="5" name="4th dimension" dataDxfId="12"/>
    <tableColumn id="6" name="z drop lines" dataDxfId="11">
      <calculatedColumnFormula>D$19*(L33-R33)</calculatedColumnFormula>
    </tableColumn>
    <tableColumn id="7" name="x norm" dataDxfId="10">
      <calculatedColumnFormula>(C33-H$16)/H$17-0.5</calculatedColumnFormula>
    </tableColumn>
    <tableColumn id="8" name="y norm" dataDxfId="9">
      <calculatedColumnFormula>(D33-I$16)/I$17-0.5</calculatedColumnFormula>
    </tableColumn>
    <tableColumn id="9" name="z norm" dataDxfId="8">
      <calculatedColumnFormula>(E33-J$16)/J$17-0.5</calculatedColumnFormula>
    </tableColumn>
    <tableColumn id="10" name="xs" dataDxfId="7">
      <calculatedColumnFormula>(H33*$H$13+I33*$I$13+J33*$J$13+$D$27)*$C$27</calculatedColumnFormula>
    </tableColumn>
    <tableColumn id="11" name="ys" dataDxfId="6">
      <calculatedColumnFormula>(H33*$H$14+I33*$I$14+J33*$J$14+$E$27)*$C$27</calculatedColumnFormula>
    </tableColumn>
    <tableColumn id="12" name="_xs_cpx" dataDxfId="5">
      <calculatedColumnFormula>(H$27*$H$13+I33*$I$13+J33*$J$13+$D$27)*$C$27</calculatedColumnFormula>
    </tableColumn>
    <tableColumn id="13" name="_ys_cpx" dataDxfId="4">
      <calculatedColumnFormula>(H$27*$H$14+I33*$I$14+J33*$J$14+$E$27)*$C$27</calculatedColumnFormula>
    </tableColumn>
    <tableColumn id="14" name="_xs_cpy" dataDxfId="3">
      <calculatedColumnFormula>(H33*$H$13+I$27*$I$13+J33*$J$13+$D$27)*$C$27</calculatedColumnFormula>
    </tableColumn>
    <tableColumn id="15" name="_ys_cpy" dataDxfId="2">
      <calculatedColumnFormula>(H33*$H$14+I$27*$I$14+J33*$J$14+$E$27)*$C$27</calculatedColumnFormula>
    </tableColumn>
    <tableColumn id="16" name="_xs_cpz" dataDxfId="1">
      <calculatedColumnFormula>(H33*$H$13+I33*$I$13+J$27*$J$13+$D$27)*$C$27</calculatedColumnFormula>
    </tableColumn>
    <tableColumn id="17" name="_ys_cpz" dataDxfId="0">
      <calculatedColumnFormula>(H33*$H$14+I33*$I$14+J$27*$J$14+$E$27)*$C$27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-Desig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table" Target="../tables/table1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/>
  <dimension ref="A1:AJ1782"/>
  <sheetViews>
    <sheetView tabSelected="1" topLeftCell="A16" zoomScale="55" zoomScaleNormal="55" workbookViewId="0">
      <selection activeCell="C44" sqref="C44"/>
    </sheetView>
  </sheetViews>
  <sheetFormatPr defaultColWidth="11" defaultRowHeight="13.5"/>
  <cols>
    <col min="1" max="1" width="147.23046875" style="81" customWidth="1"/>
    <col min="6" max="6" width="13.23046875" style="5" customWidth="1"/>
    <col min="7" max="7" width="20.765625" style="5" customWidth="1"/>
    <col min="9" max="9" width="12.765625" customWidth="1"/>
    <col min="10" max="10" width="12" customWidth="1"/>
    <col min="18" max="18" width="9.61328125" customWidth="1"/>
    <col min="19" max="21" width="10.765625" style="10"/>
  </cols>
  <sheetData>
    <row r="1" spans="2:36">
      <c r="F1"/>
      <c r="G1" s="1"/>
      <c r="H1" s="14"/>
    </row>
    <row r="2" spans="2:36">
      <c r="F2"/>
      <c r="G2" s="1"/>
      <c r="H2" s="14"/>
    </row>
    <row r="3" spans="2:36">
      <c r="F3"/>
      <c r="G3" s="1"/>
      <c r="H3" s="14"/>
    </row>
    <row r="4" spans="2:36">
      <c r="B4" s="80"/>
      <c r="G4" s="1"/>
      <c r="H4" s="14"/>
      <c r="P4" s="10"/>
      <c r="Q4" s="10"/>
      <c r="R4" s="10"/>
      <c r="S4"/>
      <c r="T4"/>
      <c r="U4"/>
      <c r="V4" s="10"/>
      <c r="W4" s="10"/>
      <c r="X4" s="10"/>
    </row>
    <row r="5" spans="2:36">
      <c r="F5"/>
      <c r="G5" s="1"/>
      <c r="H5" s="14"/>
      <c r="P5" s="10"/>
      <c r="Q5" s="10"/>
      <c r="R5" s="10"/>
      <c r="S5"/>
      <c r="T5"/>
      <c r="U5"/>
      <c r="V5" s="17"/>
      <c r="W5" s="17"/>
      <c r="X5" s="11"/>
      <c r="Y5" s="17"/>
      <c r="Z5" s="17"/>
      <c r="AA5" s="11"/>
      <c r="AB5" s="11"/>
      <c r="AC5" s="11"/>
    </row>
    <row r="6" spans="2:36">
      <c r="F6"/>
      <c r="G6" s="1"/>
      <c r="H6" s="14"/>
      <c r="P6" s="10"/>
      <c r="Q6" s="10"/>
      <c r="R6" s="10"/>
      <c r="S6" s="2" t="s">
        <v>64</v>
      </c>
      <c r="T6" t="s">
        <v>75</v>
      </c>
      <c r="U6" t="s">
        <v>76</v>
      </c>
      <c r="V6" s="10"/>
      <c r="W6" s="10"/>
      <c r="X6" s="10"/>
    </row>
    <row r="7" spans="2:36">
      <c r="F7"/>
      <c r="G7" s="1"/>
      <c r="P7" s="10"/>
      <c r="Q7" s="10"/>
      <c r="R7" s="10"/>
      <c r="S7"/>
      <c r="T7" t="s">
        <v>79</v>
      </c>
      <c r="U7" t="s">
        <v>80</v>
      </c>
      <c r="V7" s="10"/>
      <c r="W7" s="10"/>
    </row>
    <row r="8" spans="2:36">
      <c r="F8"/>
      <c r="G8" s="26" t="s">
        <v>14</v>
      </c>
      <c r="H8" s="44">
        <f t="array" ref="H8">1+MAX(IF(H33:H65535&lt;&gt;0,ROW(H33:H65535),0))-ROW(H33)</f>
        <v>7</v>
      </c>
      <c r="I8" s="45" t="s">
        <v>5</v>
      </c>
      <c r="J8" s="6"/>
      <c r="K8" s="19" t="s">
        <v>63</v>
      </c>
      <c r="L8" s="6"/>
      <c r="M8" s="6"/>
      <c r="N8" s="20" t="s">
        <v>53</v>
      </c>
      <c r="O8" s="7"/>
      <c r="P8" s="10"/>
      <c r="Q8" s="10"/>
      <c r="R8" s="10"/>
      <c r="S8" s="3" t="s">
        <v>65</v>
      </c>
      <c r="T8" t="s">
        <v>11</v>
      </c>
      <c r="U8" t="s">
        <v>12</v>
      </c>
      <c r="V8" s="36" t="s">
        <v>73</v>
      </c>
      <c r="W8" s="37" t="s">
        <v>74</v>
      </c>
      <c r="X8" s="37" t="s">
        <v>66</v>
      </c>
      <c r="Y8" s="37" t="s">
        <v>67</v>
      </c>
      <c r="Z8" s="38" t="s">
        <v>68</v>
      </c>
      <c r="AA8" s="36" t="s">
        <v>77</v>
      </c>
      <c r="AB8" s="37" t="s">
        <v>78</v>
      </c>
      <c r="AC8" s="37" t="s">
        <v>81</v>
      </c>
      <c r="AD8" s="37" t="s">
        <v>69</v>
      </c>
      <c r="AE8" s="38" t="s">
        <v>70</v>
      </c>
      <c r="AF8" s="36" t="s">
        <v>8</v>
      </c>
      <c r="AG8" s="37" t="s">
        <v>7</v>
      </c>
      <c r="AH8" s="37" t="s">
        <v>6</v>
      </c>
      <c r="AI8" s="12" t="s">
        <v>71</v>
      </c>
      <c r="AJ8" s="13" t="s">
        <v>72</v>
      </c>
    </row>
    <row r="9" spans="2:36">
      <c r="F9"/>
      <c r="G9" s="1"/>
      <c r="H9" s="39"/>
      <c r="I9" s="39"/>
      <c r="J9" s="39"/>
      <c r="K9" s="61" t="s">
        <v>35</v>
      </c>
      <c r="L9" s="62" t="s">
        <v>36</v>
      </c>
      <c r="M9" s="62" t="s">
        <v>37</v>
      </c>
      <c r="N9" s="5" t="s">
        <v>9</v>
      </c>
      <c r="O9" s="4" t="s">
        <v>10</v>
      </c>
      <c r="P9" s="10"/>
      <c r="Q9" s="10"/>
      <c r="R9" s="10"/>
      <c r="S9" s="66">
        <v>0</v>
      </c>
      <c r="T9" s="67">
        <v>0.5</v>
      </c>
      <c r="U9" s="68">
        <v>-0.5</v>
      </c>
      <c r="V9" s="39">
        <f t="shared" ref="V9:V29" si="0">IF($S9&gt;H$23,H$23,$S9)</f>
        <v>0</v>
      </c>
      <c r="W9" s="39">
        <f t="shared" ref="W9:W29" si="1">H$24+V9*H$25</f>
        <v>-0.3</v>
      </c>
      <c r="X9" s="40"/>
      <c r="Y9" s="40">
        <f t="shared" ref="Y9:Y29" si="2">(W9*$H$13+T9*$I$13+U9*$J$13+$D$27)*$C$27</f>
        <v>0.5724523533906547</v>
      </c>
      <c r="Z9" s="41">
        <f t="shared" ref="Z9:Z29" si="3">(W9*$H$14+T9*$I$14+U9*$J$14+$E$27)*$C$27</f>
        <v>-0.37756384460575043</v>
      </c>
      <c r="AA9" s="39">
        <f t="shared" ref="AA9:AA29" si="4">IF($S9&gt;I$23,I$23,$S9)</f>
        <v>0</v>
      </c>
      <c r="AB9" s="39">
        <f t="shared" ref="AB9:AB29" si="5">I$24+AA9*I$25</f>
        <v>-0.3</v>
      </c>
      <c r="AC9" s="40"/>
      <c r="AD9" s="40">
        <f t="shared" ref="AD9:AD29" si="6">(T9*$H$13+AB9*$I$13+U9*$J$13+$D$27)*$C$27</f>
        <v>-0.452917857898607</v>
      </c>
      <c r="AE9" s="41">
        <f t="shared" ref="AE9:AE29" si="7">(T9*$H$14+AB9*$I$14+U9*$J$14+$E$27)*$C$27</f>
        <v>-0.61663283558984594</v>
      </c>
      <c r="AF9" s="39">
        <f t="shared" ref="AF9:AF29" si="8">IF($S9&gt;J$23,J$23,$S9)</f>
        <v>0</v>
      </c>
      <c r="AG9" s="39">
        <f t="shared" ref="AG9:AG29" si="9">J$24+AF9*J$25</f>
        <v>-0.3</v>
      </c>
      <c r="AH9" s="39"/>
      <c r="AI9" s="40">
        <f t="shared" ref="AI9:AI29" si="10">(U9*$H$13+T9*$I$13+AG9*$J$13+$D$27)*$C$27</f>
        <v>0.64085638205578854</v>
      </c>
      <c r="AJ9" s="41">
        <f t="shared" ref="AJ9:AJ29" si="11">(U9*$H$14+T9*$I$14+AG9*$J$14+$E$27)*$C$27</f>
        <v>-0.1103895017702719</v>
      </c>
    </row>
    <row r="10" spans="2:36" ht="16" customHeight="1">
      <c r="B10" t="s">
        <v>44</v>
      </c>
      <c r="F10"/>
      <c r="G10" s="2" t="s">
        <v>25</v>
      </c>
      <c r="H10" s="39"/>
      <c r="I10" s="39"/>
      <c r="J10" s="39"/>
      <c r="K10" s="57">
        <v>0.5</v>
      </c>
      <c r="L10" s="63">
        <v>-0.5</v>
      </c>
      <c r="M10" s="63">
        <v>-0.5</v>
      </c>
      <c r="N10" s="50">
        <f t="shared" ref="N10:N20" si="12">(K10*$H$13+L10*$I$13+M10*$J$13+$D$27)*$C$27</f>
        <v>-0.64085638205578865</v>
      </c>
      <c r="O10" s="51">
        <f t="shared" ref="O10:O20" si="13">(K10*$H$14+L10*$I$14+M10*$J$14+$E$27)*$C$27</f>
        <v>-0.58243082125727907</v>
      </c>
      <c r="P10" s="15"/>
      <c r="Q10" s="15"/>
      <c r="R10" s="15"/>
      <c r="S10" s="69">
        <v>0</v>
      </c>
      <c r="T10" s="70">
        <v>0.6</v>
      </c>
      <c r="U10" s="71">
        <v>-0.5</v>
      </c>
      <c r="V10" s="39">
        <f t="shared" si="0"/>
        <v>0</v>
      </c>
      <c r="W10" s="39">
        <f t="shared" si="1"/>
        <v>-0.3</v>
      </c>
      <c r="X10" s="40">
        <f>H$22+V10*H$21</f>
        <v>100</v>
      </c>
      <c r="Y10" s="40">
        <f t="shared" si="2"/>
        <v>0.6664216154692455</v>
      </c>
      <c r="Z10" s="41">
        <f t="shared" si="3"/>
        <v>-0.39466485177203386</v>
      </c>
      <c r="AA10" s="39">
        <f t="shared" si="4"/>
        <v>0</v>
      </c>
      <c r="AB10" s="39">
        <f t="shared" si="5"/>
        <v>-0.3</v>
      </c>
      <c r="AC10" s="40">
        <f>I$22+AA10*I$21</f>
        <v>100</v>
      </c>
      <c r="AD10" s="40">
        <f t="shared" si="6"/>
        <v>-0.48711987223117387</v>
      </c>
      <c r="AE10" s="41">
        <f t="shared" si="7"/>
        <v>-0.66361746662914134</v>
      </c>
      <c r="AF10" s="39">
        <f t="shared" si="8"/>
        <v>0</v>
      </c>
      <c r="AG10" s="39">
        <f t="shared" si="9"/>
        <v>-0.3</v>
      </c>
      <c r="AH10" s="39">
        <f>J$22+AF10*J$21</f>
        <v>100</v>
      </c>
      <c r="AI10" s="40">
        <f t="shared" si="10"/>
        <v>0.73482564413437945</v>
      </c>
      <c r="AJ10" s="41">
        <f t="shared" si="11"/>
        <v>-0.12749050893655534</v>
      </c>
    </row>
    <row r="11" spans="2:36" ht="16" customHeight="1">
      <c r="B11" t="s">
        <v>45</v>
      </c>
      <c r="F11"/>
      <c r="G11" s="1" t="s">
        <v>40</v>
      </c>
      <c r="H11" s="46">
        <f>SIN(RADIANS(C13))</f>
        <v>0.86602540378443871</v>
      </c>
      <c r="I11" s="45">
        <f>SIN(RADIANS(D13))</f>
        <v>1.22514845490862E-16</v>
      </c>
      <c r="J11" s="47">
        <f>SIN(RADIANS(E13))</f>
        <v>0.93969262078590832</v>
      </c>
      <c r="K11" s="57">
        <v>-0.5</v>
      </c>
      <c r="L11" s="63">
        <v>-0.5</v>
      </c>
      <c r="M11" s="63">
        <v>-0.5</v>
      </c>
      <c r="N11" s="50">
        <f t="shared" si="12"/>
        <v>-0.29883623873011983</v>
      </c>
      <c r="O11" s="51">
        <f t="shared" si="13"/>
        <v>-0.11258451086432519</v>
      </c>
      <c r="P11" s="15"/>
      <c r="Q11" s="15"/>
      <c r="R11" s="15"/>
      <c r="S11" s="69">
        <v>0</v>
      </c>
      <c r="T11" s="70">
        <v>0.5</v>
      </c>
      <c r="U11" s="71">
        <v>-0.5</v>
      </c>
      <c r="V11" s="39">
        <f t="shared" si="0"/>
        <v>0</v>
      </c>
      <c r="W11" s="39">
        <f t="shared" si="1"/>
        <v>-0.3</v>
      </c>
      <c r="X11" s="40"/>
      <c r="Y11" s="40">
        <f t="shared" si="2"/>
        <v>0.5724523533906547</v>
      </c>
      <c r="Z11" s="41">
        <f t="shared" si="3"/>
        <v>-0.37756384460575043</v>
      </c>
      <c r="AA11" s="39">
        <f t="shared" si="4"/>
        <v>0</v>
      </c>
      <c r="AB11" s="39">
        <f t="shared" si="5"/>
        <v>-0.3</v>
      </c>
      <c r="AC11" s="40"/>
      <c r="AD11" s="40">
        <f t="shared" si="6"/>
        <v>-0.452917857898607</v>
      </c>
      <c r="AE11" s="41">
        <f t="shared" si="7"/>
        <v>-0.61663283558984594</v>
      </c>
      <c r="AF11" s="39">
        <f t="shared" si="8"/>
        <v>0</v>
      </c>
      <c r="AG11" s="39">
        <f t="shared" si="9"/>
        <v>-0.3</v>
      </c>
      <c r="AH11" s="39"/>
      <c r="AI11" s="40">
        <f t="shared" si="10"/>
        <v>0.64085638205578854</v>
      </c>
      <c r="AJ11" s="41">
        <f t="shared" si="11"/>
        <v>-0.1103895017702719</v>
      </c>
    </row>
    <row r="12" spans="2:36" ht="16" customHeight="1">
      <c r="B12" t="s">
        <v>46</v>
      </c>
      <c r="F12"/>
      <c r="G12" s="1" t="s">
        <v>41</v>
      </c>
      <c r="H12" s="48">
        <f>COS(RADIANS(C13))</f>
        <v>-0.49999999999999978</v>
      </c>
      <c r="I12" s="42">
        <f>COS(RADIANS(D13))</f>
        <v>-1</v>
      </c>
      <c r="J12" s="43">
        <f>COS(RADIANS(E13))</f>
        <v>0.34202014332566882</v>
      </c>
      <c r="K12" s="57">
        <v>-0.5</v>
      </c>
      <c r="L12" s="63">
        <v>-0.5</v>
      </c>
      <c r="M12" s="63">
        <v>0.5</v>
      </c>
      <c r="N12" s="50">
        <f t="shared" si="12"/>
        <v>-0.29883623873011972</v>
      </c>
      <c r="O12" s="51">
        <f t="shared" si="13"/>
        <v>0.75344089292011351</v>
      </c>
      <c r="P12" s="15"/>
      <c r="Q12" s="15"/>
      <c r="R12" s="15"/>
      <c r="S12" s="69">
        <v>1</v>
      </c>
      <c r="T12" s="70">
        <v>0.5</v>
      </c>
      <c r="U12" s="71">
        <v>-0.5</v>
      </c>
      <c r="V12" s="39">
        <f t="shared" si="0"/>
        <v>1</v>
      </c>
      <c r="W12" s="39">
        <f t="shared" si="1"/>
        <v>-9.9999999999999978E-2</v>
      </c>
      <c r="X12" s="40"/>
      <c r="Y12" s="40">
        <f t="shared" si="2"/>
        <v>0.50404832472552097</v>
      </c>
      <c r="Z12" s="41">
        <f t="shared" si="3"/>
        <v>-0.47153310668434117</v>
      </c>
      <c r="AA12" s="39">
        <f t="shared" si="4"/>
        <v>1</v>
      </c>
      <c r="AB12" s="39">
        <f t="shared" si="5"/>
        <v>-9.9999999999999978E-2</v>
      </c>
      <c r="AC12" s="40"/>
      <c r="AD12" s="40">
        <f t="shared" si="6"/>
        <v>-0.26497933374142529</v>
      </c>
      <c r="AE12" s="41">
        <f t="shared" si="7"/>
        <v>-0.65083484992241281</v>
      </c>
      <c r="AF12" s="39">
        <f t="shared" si="8"/>
        <v>1</v>
      </c>
      <c r="AG12" s="39">
        <f t="shared" si="9"/>
        <v>-9.9999999999999978E-2</v>
      </c>
      <c r="AH12" s="39"/>
      <c r="AI12" s="40">
        <f t="shared" si="10"/>
        <v>0.64085638205578854</v>
      </c>
      <c r="AJ12" s="41">
        <f t="shared" si="11"/>
        <v>6.2815578986615869E-2</v>
      </c>
    </row>
    <row r="13" spans="2:36" ht="16" customHeight="1">
      <c r="B13" t="s">
        <v>50</v>
      </c>
      <c r="C13" s="27">
        <v>120</v>
      </c>
      <c r="D13" s="28">
        <v>180</v>
      </c>
      <c r="E13" s="21">
        <v>70</v>
      </c>
      <c r="F13"/>
      <c r="G13" s="1" t="s">
        <v>42</v>
      </c>
      <c r="H13" s="39">
        <f>I12*J12*H18</f>
        <v>-0.34202014332566882</v>
      </c>
      <c r="I13" s="39">
        <f>-J11*I12*I18</f>
        <v>0.93969262078590832</v>
      </c>
      <c r="J13" s="39">
        <f>I11*J18</f>
        <v>1.22514845490862E-16</v>
      </c>
      <c r="K13" s="57">
        <v>0.5</v>
      </c>
      <c r="L13" s="63">
        <v>-0.5</v>
      </c>
      <c r="M13" s="63">
        <v>0.5</v>
      </c>
      <c r="N13" s="50">
        <f t="shared" si="12"/>
        <v>-0.64085638205578843</v>
      </c>
      <c r="O13" s="51">
        <f t="shared" si="13"/>
        <v>0.28359458252715963</v>
      </c>
      <c r="P13" s="15"/>
      <c r="Q13" s="15"/>
      <c r="R13" s="15"/>
      <c r="S13" s="69">
        <v>1</v>
      </c>
      <c r="T13" s="70">
        <v>0.6</v>
      </c>
      <c r="U13" s="71">
        <v>-0.5</v>
      </c>
      <c r="V13" s="39">
        <f t="shared" si="0"/>
        <v>1</v>
      </c>
      <c r="W13" s="39">
        <f t="shared" si="1"/>
        <v>-9.9999999999999978E-2</v>
      </c>
      <c r="X13" s="40">
        <f>H$22+V13*H$21</f>
        <v>200</v>
      </c>
      <c r="Y13" s="40">
        <f t="shared" si="2"/>
        <v>0.59801758680411177</v>
      </c>
      <c r="Z13" s="41">
        <f t="shared" si="3"/>
        <v>-0.48863411385062466</v>
      </c>
      <c r="AA13" s="39">
        <f t="shared" si="4"/>
        <v>1</v>
      </c>
      <c r="AB13" s="39">
        <f t="shared" si="5"/>
        <v>-9.9999999999999978E-2</v>
      </c>
      <c r="AC13" s="40">
        <f>I$22+AA13*I$21</f>
        <v>200</v>
      </c>
      <c r="AD13" s="40">
        <f t="shared" si="6"/>
        <v>-0.29918134807399216</v>
      </c>
      <c r="AE13" s="41">
        <f t="shared" si="7"/>
        <v>-0.69781948096170821</v>
      </c>
      <c r="AF13" s="39">
        <f t="shared" si="8"/>
        <v>1</v>
      </c>
      <c r="AG13" s="39">
        <f t="shared" si="9"/>
        <v>-9.9999999999999978E-2</v>
      </c>
      <c r="AH13" s="39">
        <f>J$22+AF13*J$21</f>
        <v>200</v>
      </c>
      <c r="AI13" s="40">
        <f t="shared" si="10"/>
        <v>0.73482564413437945</v>
      </c>
      <c r="AJ13" s="41">
        <f t="shared" si="11"/>
        <v>4.5714571820332436E-2</v>
      </c>
    </row>
    <row r="14" spans="2:36" ht="16" customHeight="1">
      <c r="B14" t="s">
        <v>51</v>
      </c>
      <c r="C14" s="29">
        <v>0</v>
      </c>
      <c r="D14" s="30">
        <v>0</v>
      </c>
      <c r="E14" s="23">
        <v>0</v>
      </c>
      <c r="G14" s="1" t="s">
        <v>43</v>
      </c>
      <c r="H14" s="39">
        <f>(J12*I11*H11+J11*H12)*H18</f>
        <v>-0.46984631039295388</v>
      </c>
      <c r="I14" s="39">
        <f>(-J11*I11*H11+J12*H12)*I18</f>
        <v>-0.17101007166283444</v>
      </c>
      <c r="J14" s="39">
        <f>-I12*H11*J18</f>
        <v>0.86602540378443871</v>
      </c>
      <c r="K14" s="57">
        <v>0.5</v>
      </c>
      <c r="L14" s="63">
        <v>-0.5</v>
      </c>
      <c r="M14" s="63">
        <v>-0.5</v>
      </c>
      <c r="N14" s="50">
        <f t="shared" si="12"/>
        <v>-0.64085638205578865</v>
      </c>
      <c r="O14" s="51">
        <f t="shared" si="13"/>
        <v>-0.58243082125727907</v>
      </c>
      <c r="P14" s="15"/>
      <c r="Q14" s="15"/>
      <c r="R14" s="15"/>
      <c r="S14" s="69">
        <v>1</v>
      </c>
      <c r="T14" s="70">
        <v>0.5</v>
      </c>
      <c r="U14" s="71">
        <v>-0.5</v>
      </c>
      <c r="V14" s="39">
        <f t="shared" si="0"/>
        <v>1</v>
      </c>
      <c r="W14" s="39">
        <f t="shared" si="1"/>
        <v>-9.9999999999999978E-2</v>
      </c>
      <c r="X14" s="40"/>
      <c r="Y14" s="40">
        <f t="shared" si="2"/>
        <v>0.50404832472552097</v>
      </c>
      <c r="Z14" s="41">
        <f t="shared" si="3"/>
        <v>-0.47153310668434117</v>
      </c>
      <c r="AA14" s="39">
        <f t="shared" si="4"/>
        <v>1</v>
      </c>
      <c r="AB14" s="39">
        <f t="shared" si="5"/>
        <v>-9.9999999999999978E-2</v>
      </c>
      <c r="AC14" s="40"/>
      <c r="AD14" s="40">
        <f t="shared" si="6"/>
        <v>-0.26497933374142529</v>
      </c>
      <c r="AE14" s="41">
        <f t="shared" si="7"/>
        <v>-0.65083484992241281</v>
      </c>
      <c r="AF14" s="39">
        <f t="shared" si="8"/>
        <v>1</v>
      </c>
      <c r="AG14" s="39">
        <f t="shared" si="9"/>
        <v>-9.9999999999999978E-2</v>
      </c>
      <c r="AH14" s="39"/>
      <c r="AI14" s="40">
        <f t="shared" si="10"/>
        <v>0.64085638205578854</v>
      </c>
      <c r="AJ14" s="41">
        <f t="shared" si="11"/>
        <v>6.2815578986615869E-2</v>
      </c>
    </row>
    <row r="15" spans="2:36" ht="16" customHeight="1">
      <c r="G15" s="2" t="s">
        <v>13</v>
      </c>
      <c r="H15" s="39"/>
      <c r="I15" s="39"/>
      <c r="J15" s="39"/>
      <c r="K15" s="57">
        <v>0.5</v>
      </c>
      <c r="L15" s="63">
        <v>0.5</v>
      </c>
      <c r="M15" s="63">
        <v>-0.5</v>
      </c>
      <c r="N15" s="50">
        <f t="shared" si="12"/>
        <v>0.29883623873011972</v>
      </c>
      <c r="O15" s="51">
        <f t="shared" si="13"/>
        <v>-0.75344089292011351</v>
      </c>
      <c r="P15" s="15"/>
      <c r="Q15" s="15"/>
      <c r="R15" s="15"/>
      <c r="S15" s="69">
        <v>2</v>
      </c>
      <c r="T15" s="70">
        <v>0.5</v>
      </c>
      <c r="U15" s="71">
        <v>-0.5</v>
      </c>
      <c r="V15" s="39">
        <f t="shared" si="0"/>
        <v>2</v>
      </c>
      <c r="W15" s="39">
        <f t="shared" si="1"/>
        <v>0.10000000000000003</v>
      </c>
      <c r="X15" s="40"/>
      <c r="Y15" s="40">
        <f t="shared" si="2"/>
        <v>0.43564429606038718</v>
      </c>
      <c r="Z15" s="41">
        <f t="shared" si="3"/>
        <v>-0.56550236876293192</v>
      </c>
      <c r="AA15" s="39">
        <f t="shared" si="4"/>
        <v>2</v>
      </c>
      <c r="AB15" s="39">
        <f t="shared" si="5"/>
        <v>0.10000000000000003</v>
      </c>
      <c r="AC15" s="40"/>
      <c r="AD15" s="40">
        <f t="shared" si="6"/>
        <v>-7.70408095842436E-2</v>
      </c>
      <c r="AE15" s="41">
        <f t="shared" si="7"/>
        <v>-0.68503686425497978</v>
      </c>
      <c r="AF15" s="39">
        <f t="shared" si="8"/>
        <v>2</v>
      </c>
      <c r="AG15" s="39">
        <f t="shared" si="9"/>
        <v>0.10000000000000003</v>
      </c>
      <c r="AH15" s="39"/>
      <c r="AI15" s="40">
        <f t="shared" si="10"/>
        <v>0.64085638205578854</v>
      </c>
      <c r="AJ15" s="41">
        <f t="shared" si="11"/>
        <v>0.23602065974350361</v>
      </c>
    </row>
    <row r="16" spans="2:36" ht="16" customHeight="1">
      <c r="B16" t="s">
        <v>47</v>
      </c>
      <c r="F16"/>
      <c r="G16" s="1" t="s">
        <v>38</v>
      </c>
      <c r="H16" s="39">
        <f>MIN(C33:C39)</f>
        <v>0</v>
      </c>
      <c r="I16" s="39">
        <f>MIN(D33:D39)</f>
        <v>0</v>
      </c>
      <c r="J16" s="39">
        <f>MIN(E33:E39)</f>
        <v>0</v>
      </c>
      <c r="K16" s="57">
        <v>-0.5</v>
      </c>
      <c r="L16" s="63">
        <v>0.5</v>
      </c>
      <c r="M16" s="63">
        <v>-0.5</v>
      </c>
      <c r="N16" s="50">
        <f t="shared" si="12"/>
        <v>0.64085638205578843</v>
      </c>
      <c r="O16" s="51">
        <f t="shared" si="13"/>
        <v>-0.28359458252715963</v>
      </c>
      <c r="P16" s="15"/>
      <c r="Q16" s="15"/>
      <c r="R16" s="15"/>
      <c r="S16" s="69">
        <v>2</v>
      </c>
      <c r="T16" s="70">
        <v>0.6</v>
      </c>
      <c r="U16" s="71">
        <v>-0.5</v>
      </c>
      <c r="V16" s="39">
        <f t="shared" si="0"/>
        <v>2</v>
      </c>
      <c r="W16" s="39">
        <f t="shared" si="1"/>
        <v>0.10000000000000003</v>
      </c>
      <c r="X16" s="40">
        <f>H$22+V16*H$21</f>
        <v>300</v>
      </c>
      <c r="Y16" s="40">
        <f t="shared" si="2"/>
        <v>0.52961355813897804</v>
      </c>
      <c r="Z16" s="41">
        <f t="shared" si="3"/>
        <v>-0.58260337592921541</v>
      </c>
      <c r="AA16" s="39">
        <f t="shared" si="4"/>
        <v>2</v>
      </c>
      <c r="AB16" s="39">
        <f t="shared" si="5"/>
        <v>0.10000000000000003</v>
      </c>
      <c r="AC16" s="40">
        <f>I$22+AA16*I$21</f>
        <v>300</v>
      </c>
      <c r="AD16" s="40">
        <f t="shared" si="6"/>
        <v>-0.11124282391681047</v>
      </c>
      <c r="AE16" s="41">
        <f t="shared" si="7"/>
        <v>-0.73202149529427518</v>
      </c>
      <c r="AF16" s="39">
        <f t="shared" si="8"/>
        <v>2</v>
      </c>
      <c r="AG16" s="39">
        <f t="shared" si="9"/>
        <v>0.10000000000000003</v>
      </c>
      <c r="AH16" s="39">
        <f>J$22+AF16*J$21</f>
        <v>300</v>
      </c>
      <c r="AI16" s="40">
        <f t="shared" si="10"/>
        <v>0.73482564413437945</v>
      </c>
      <c r="AJ16" s="41">
        <f t="shared" si="11"/>
        <v>0.21891965257722018</v>
      </c>
    </row>
    <row r="17" spans="2:36" ht="16" customHeight="1">
      <c r="B17" t="s">
        <v>48</v>
      </c>
      <c r="F17"/>
      <c r="G17" s="1" t="s">
        <v>39</v>
      </c>
      <c r="H17" s="39">
        <f>MAX(C33:C39)-H16</f>
        <v>500</v>
      </c>
      <c r="I17" s="39">
        <f>MAX(D33:D39)-I16</f>
        <v>500</v>
      </c>
      <c r="J17" s="39">
        <f>MAX(E33:E39)-J16</f>
        <v>500</v>
      </c>
      <c r="K17" s="57">
        <v>-0.5</v>
      </c>
      <c r="L17" s="63">
        <v>0.5</v>
      </c>
      <c r="M17" s="63">
        <v>0.5</v>
      </c>
      <c r="N17" s="50">
        <f t="shared" si="12"/>
        <v>0.64085638205578865</v>
      </c>
      <c r="O17" s="51">
        <f t="shared" si="13"/>
        <v>0.58243082125727907</v>
      </c>
      <c r="P17" s="15"/>
      <c r="Q17" s="15"/>
      <c r="R17" s="15"/>
      <c r="S17" s="69">
        <v>2</v>
      </c>
      <c r="T17" s="70">
        <v>0.5</v>
      </c>
      <c r="U17" s="71">
        <v>-0.5</v>
      </c>
      <c r="V17" s="39">
        <f t="shared" si="0"/>
        <v>2</v>
      </c>
      <c r="W17" s="39">
        <f t="shared" si="1"/>
        <v>0.10000000000000003</v>
      </c>
      <c r="X17" s="40"/>
      <c r="Y17" s="40">
        <f t="shared" si="2"/>
        <v>0.43564429606038718</v>
      </c>
      <c r="Z17" s="41">
        <f t="shared" si="3"/>
        <v>-0.56550236876293192</v>
      </c>
      <c r="AA17" s="39">
        <f t="shared" si="4"/>
        <v>2</v>
      </c>
      <c r="AB17" s="39">
        <f t="shared" si="5"/>
        <v>0.10000000000000003</v>
      </c>
      <c r="AC17" s="40"/>
      <c r="AD17" s="40">
        <f t="shared" si="6"/>
        <v>-7.70408095842436E-2</v>
      </c>
      <c r="AE17" s="41">
        <f t="shared" si="7"/>
        <v>-0.68503686425497978</v>
      </c>
      <c r="AF17" s="39">
        <f t="shared" si="8"/>
        <v>2</v>
      </c>
      <c r="AG17" s="39">
        <f t="shared" si="9"/>
        <v>0.10000000000000003</v>
      </c>
      <c r="AH17" s="39"/>
      <c r="AI17" s="40">
        <f t="shared" si="10"/>
        <v>0.64085638205578854</v>
      </c>
      <c r="AJ17" s="41">
        <f t="shared" si="11"/>
        <v>0.23602065974350361</v>
      </c>
    </row>
    <row r="18" spans="2:36" ht="16" customHeight="1">
      <c r="B18" t="s">
        <v>49</v>
      </c>
      <c r="F18"/>
      <c r="G18" s="1" t="s">
        <v>24</v>
      </c>
      <c r="H18" s="49">
        <f>IF(D23,H17/MAX($H17:$J17),1)</f>
        <v>1</v>
      </c>
      <c r="I18" s="49">
        <f>IF(D23,I17/MAX($H17:$J17),1)</f>
        <v>1</v>
      </c>
      <c r="J18" s="49">
        <f>IF(D23,J17/MAX($H17:$J17),1)</f>
        <v>1</v>
      </c>
      <c r="K18" s="57">
        <v>-0.5</v>
      </c>
      <c r="L18" s="63">
        <v>-0.5</v>
      </c>
      <c r="M18" s="63">
        <v>0.5</v>
      </c>
      <c r="N18" s="50">
        <f t="shared" si="12"/>
        <v>-0.29883623873011972</v>
      </c>
      <c r="O18" s="51">
        <f t="shared" si="13"/>
        <v>0.75344089292011351</v>
      </c>
      <c r="P18" s="15"/>
      <c r="Q18" s="15"/>
      <c r="R18" s="15"/>
      <c r="S18" s="69">
        <v>3</v>
      </c>
      <c r="T18" s="70">
        <v>0.5</v>
      </c>
      <c r="U18" s="71">
        <v>-0.5</v>
      </c>
      <c r="V18" s="39">
        <f t="shared" si="0"/>
        <v>3</v>
      </c>
      <c r="W18" s="39">
        <f t="shared" si="1"/>
        <v>0.3000000000000001</v>
      </c>
      <c r="X18" s="40"/>
      <c r="Y18" s="40">
        <f t="shared" si="2"/>
        <v>0.36724026739525345</v>
      </c>
      <c r="Z18" s="41">
        <f t="shared" si="3"/>
        <v>-0.65947163084152272</v>
      </c>
      <c r="AA18" s="39">
        <f t="shared" si="4"/>
        <v>3</v>
      </c>
      <c r="AB18" s="39">
        <f t="shared" si="5"/>
        <v>0.3000000000000001</v>
      </c>
      <c r="AC18" s="40"/>
      <c r="AD18" s="40">
        <f t="shared" si="6"/>
        <v>0.11089771457293809</v>
      </c>
      <c r="AE18" s="41">
        <f t="shared" si="7"/>
        <v>-0.71923887858754665</v>
      </c>
      <c r="AF18" s="39">
        <f t="shared" si="8"/>
        <v>3</v>
      </c>
      <c r="AG18" s="39">
        <f t="shared" si="9"/>
        <v>0.3000000000000001</v>
      </c>
      <c r="AH18" s="39"/>
      <c r="AI18" s="40">
        <f t="shared" si="10"/>
        <v>0.64085638205578854</v>
      </c>
      <c r="AJ18" s="41">
        <f t="shared" si="11"/>
        <v>0.4092257405003914</v>
      </c>
    </row>
    <row r="19" spans="2:36" ht="16" customHeight="1">
      <c r="B19" s="32"/>
      <c r="D19" t="b">
        <v>0</v>
      </c>
      <c r="F19"/>
      <c r="G19" s="2" t="s">
        <v>62</v>
      </c>
      <c r="H19" s="39"/>
      <c r="I19" s="39"/>
      <c r="J19" s="39"/>
      <c r="K19" s="57">
        <v>-0.5</v>
      </c>
      <c r="L19" s="63">
        <v>-0.5</v>
      </c>
      <c r="M19" s="63">
        <v>-0.5</v>
      </c>
      <c r="N19" s="50">
        <f t="shared" si="12"/>
        <v>-0.29883623873011983</v>
      </c>
      <c r="O19" s="51">
        <f t="shared" si="13"/>
        <v>-0.11258451086432519</v>
      </c>
      <c r="P19" s="15"/>
      <c r="Q19" s="15"/>
      <c r="R19" s="15"/>
      <c r="S19" s="69">
        <v>3</v>
      </c>
      <c r="T19" s="70">
        <v>0.6</v>
      </c>
      <c r="U19" s="71">
        <v>-0.5</v>
      </c>
      <c r="V19" s="39">
        <f t="shared" si="0"/>
        <v>3</v>
      </c>
      <c r="W19" s="39">
        <f t="shared" si="1"/>
        <v>0.3000000000000001</v>
      </c>
      <c r="X19" s="40">
        <f>H$22+V19*H$21</f>
        <v>400</v>
      </c>
      <c r="Y19" s="40">
        <f t="shared" si="2"/>
        <v>0.46120952947384425</v>
      </c>
      <c r="Z19" s="41">
        <f t="shared" si="3"/>
        <v>-0.6765726380078062</v>
      </c>
      <c r="AA19" s="39">
        <f t="shared" si="4"/>
        <v>3</v>
      </c>
      <c r="AB19" s="39">
        <f t="shared" si="5"/>
        <v>0.3000000000000001</v>
      </c>
      <c r="AC19" s="40">
        <f>I$22+AA19*I$21</f>
        <v>400</v>
      </c>
      <c r="AD19" s="40">
        <f t="shared" si="6"/>
        <v>7.6695700240371228E-2</v>
      </c>
      <c r="AE19" s="41">
        <f t="shared" si="7"/>
        <v>-0.76622350962684205</v>
      </c>
      <c r="AF19" s="39">
        <f t="shared" si="8"/>
        <v>3</v>
      </c>
      <c r="AG19" s="39">
        <f t="shared" si="9"/>
        <v>0.3000000000000001</v>
      </c>
      <c r="AH19" s="39">
        <f>J$22+AF19*J$21</f>
        <v>400</v>
      </c>
      <c r="AI19" s="40">
        <f t="shared" si="10"/>
        <v>0.73482564413437945</v>
      </c>
      <c r="AJ19" s="41">
        <f t="shared" si="11"/>
        <v>0.39212473333410797</v>
      </c>
    </row>
    <row r="20" spans="2:36" ht="16" customHeight="1">
      <c r="B20" t="s">
        <v>22</v>
      </c>
      <c r="F20"/>
      <c r="G20" s="1" t="s">
        <v>56</v>
      </c>
      <c r="H20" s="39">
        <f>H17/5</f>
        <v>100</v>
      </c>
      <c r="I20" s="39">
        <f>I17/5</f>
        <v>100</v>
      </c>
      <c r="J20" s="39">
        <f>J17/5</f>
        <v>100</v>
      </c>
      <c r="K20" s="59">
        <v>-0.5</v>
      </c>
      <c r="L20" s="64">
        <v>0.5</v>
      </c>
      <c r="M20" s="64">
        <v>-0.5</v>
      </c>
      <c r="N20" s="52">
        <f t="shared" si="12"/>
        <v>0.64085638205578843</v>
      </c>
      <c r="O20" s="53">
        <f t="shared" si="13"/>
        <v>-0.28359458252715963</v>
      </c>
      <c r="P20" s="15"/>
      <c r="Q20" s="15"/>
      <c r="R20" s="15"/>
      <c r="S20" s="69">
        <v>3</v>
      </c>
      <c r="T20" s="70">
        <v>0.5</v>
      </c>
      <c r="U20" s="71">
        <v>-0.5</v>
      </c>
      <c r="V20" s="39">
        <f t="shared" si="0"/>
        <v>3</v>
      </c>
      <c r="W20" s="39">
        <f t="shared" si="1"/>
        <v>0.3000000000000001</v>
      </c>
      <c r="X20" s="40"/>
      <c r="Y20" s="40">
        <f t="shared" si="2"/>
        <v>0.36724026739525345</v>
      </c>
      <c r="Z20" s="41">
        <f t="shared" si="3"/>
        <v>-0.65947163084152272</v>
      </c>
      <c r="AA20" s="39">
        <f t="shared" si="4"/>
        <v>3</v>
      </c>
      <c r="AB20" s="39">
        <f t="shared" si="5"/>
        <v>0.3000000000000001</v>
      </c>
      <c r="AC20" s="40"/>
      <c r="AD20" s="40">
        <f t="shared" si="6"/>
        <v>0.11089771457293809</v>
      </c>
      <c r="AE20" s="41">
        <f t="shared" si="7"/>
        <v>-0.71923887858754665</v>
      </c>
      <c r="AF20" s="39">
        <f t="shared" si="8"/>
        <v>3</v>
      </c>
      <c r="AG20" s="39">
        <f t="shared" si="9"/>
        <v>0.3000000000000001</v>
      </c>
      <c r="AH20" s="39"/>
      <c r="AI20" s="40">
        <f t="shared" si="10"/>
        <v>0.64085638205578854</v>
      </c>
      <c r="AJ20" s="41">
        <f t="shared" si="11"/>
        <v>0.4092257405003914</v>
      </c>
    </row>
    <row r="21" spans="2:36" ht="16" customHeight="1">
      <c r="B21" t="s">
        <v>20</v>
      </c>
      <c r="F21"/>
      <c r="G21" s="1" t="s">
        <v>57</v>
      </c>
      <c r="H21" s="39">
        <f>ROUND(H20,1-INT(LOG(ABS(H20))+1))</f>
        <v>100</v>
      </c>
      <c r="I21" s="39">
        <f>ROUND(I20,1-INT(LOG(ABS(I20))+1))</f>
        <v>100</v>
      </c>
      <c r="J21" s="39">
        <f>ROUND(J20,1-INT(LOG(ABS(J20))+1))</f>
        <v>100</v>
      </c>
      <c r="K21" s="1"/>
      <c r="P21" s="10"/>
      <c r="Q21" s="10"/>
      <c r="R21" s="10"/>
      <c r="S21" s="69">
        <v>4</v>
      </c>
      <c r="T21" s="70">
        <v>0.5</v>
      </c>
      <c r="U21" s="71">
        <v>-0.5</v>
      </c>
      <c r="V21" s="39">
        <f t="shared" si="0"/>
        <v>4</v>
      </c>
      <c r="W21" s="39">
        <f t="shared" si="1"/>
        <v>0.5</v>
      </c>
      <c r="X21" s="40"/>
      <c r="Y21" s="40">
        <f t="shared" si="2"/>
        <v>0.29883623873011972</v>
      </c>
      <c r="Z21" s="41">
        <f t="shared" si="3"/>
        <v>-0.75344089292011351</v>
      </c>
      <c r="AA21" s="39">
        <f t="shared" si="4"/>
        <v>4</v>
      </c>
      <c r="AB21" s="39">
        <f t="shared" si="5"/>
        <v>0.5</v>
      </c>
      <c r="AC21" s="40"/>
      <c r="AD21" s="40">
        <f t="shared" si="6"/>
        <v>0.29883623873011972</v>
      </c>
      <c r="AE21" s="41">
        <f t="shared" si="7"/>
        <v>-0.75344089292011351</v>
      </c>
      <c r="AF21" s="39">
        <f t="shared" si="8"/>
        <v>4</v>
      </c>
      <c r="AG21" s="39">
        <f t="shared" si="9"/>
        <v>0.5</v>
      </c>
      <c r="AH21" s="39"/>
      <c r="AI21" s="40">
        <f t="shared" si="10"/>
        <v>0.64085638205578865</v>
      </c>
      <c r="AJ21" s="41">
        <f t="shared" si="11"/>
        <v>0.58243082125727907</v>
      </c>
    </row>
    <row r="22" spans="2:36" ht="16" customHeight="1">
      <c r="B22" t="s">
        <v>21</v>
      </c>
      <c r="F22"/>
      <c r="G22" s="1" t="s">
        <v>58</v>
      </c>
      <c r="H22" s="39">
        <f>H21*(INT(H16/H21)+1)</f>
        <v>100</v>
      </c>
      <c r="I22" s="39">
        <f>I21*(INT(I16/I21)+1)</f>
        <v>100</v>
      </c>
      <c r="J22" s="39">
        <f>J21*(INT(J16/J21)+1)</f>
        <v>100</v>
      </c>
      <c r="K22" s="19" t="s">
        <v>16</v>
      </c>
      <c r="L22" s="7"/>
      <c r="M22" s="19" t="s">
        <v>17</v>
      </c>
      <c r="N22" s="20"/>
      <c r="O22" s="19" t="s">
        <v>18</v>
      </c>
      <c r="P22" s="25"/>
      <c r="Q22" s="20" t="s">
        <v>19</v>
      </c>
      <c r="R22" s="21"/>
      <c r="S22" s="69">
        <v>4</v>
      </c>
      <c r="T22" s="70">
        <v>0.6</v>
      </c>
      <c r="U22" s="71">
        <v>-0.5</v>
      </c>
      <c r="V22" s="39">
        <f t="shared" si="0"/>
        <v>4</v>
      </c>
      <c r="W22" s="39">
        <f t="shared" si="1"/>
        <v>0.5</v>
      </c>
      <c r="X22" s="40">
        <f>H$22+V22*H$21</f>
        <v>500</v>
      </c>
      <c r="Y22" s="40">
        <f t="shared" si="2"/>
        <v>0.39280550080871052</v>
      </c>
      <c r="Z22" s="41">
        <f t="shared" si="3"/>
        <v>-0.77054190008639689</v>
      </c>
      <c r="AA22" s="39">
        <f t="shared" si="4"/>
        <v>4</v>
      </c>
      <c r="AB22" s="39">
        <f t="shared" si="5"/>
        <v>0.5</v>
      </c>
      <c r="AC22" s="40">
        <f>I$22+AA22*I$21</f>
        <v>500</v>
      </c>
      <c r="AD22" s="40">
        <f t="shared" si="6"/>
        <v>0.26463422439755285</v>
      </c>
      <c r="AE22" s="41">
        <f t="shared" si="7"/>
        <v>-0.80042552395940891</v>
      </c>
      <c r="AF22" s="39">
        <f t="shared" si="8"/>
        <v>4</v>
      </c>
      <c r="AG22" s="39">
        <f t="shared" si="9"/>
        <v>0.5</v>
      </c>
      <c r="AH22" s="39">
        <f>J$22+AF22*J$21</f>
        <v>500</v>
      </c>
      <c r="AI22" s="40">
        <f t="shared" si="10"/>
        <v>0.73482564413437956</v>
      </c>
      <c r="AJ22" s="41">
        <f t="shared" si="11"/>
        <v>0.5653298140909957</v>
      </c>
    </row>
    <row r="23" spans="2:36" ht="16" customHeight="1">
      <c r="B23" s="32"/>
      <c r="D23" t="b">
        <v>0</v>
      </c>
      <c r="F23"/>
      <c r="G23" s="1" t="s">
        <v>59</v>
      </c>
      <c r="H23" s="39">
        <f>INT((H17+H16-H22)/H21)</f>
        <v>4</v>
      </c>
      <c r="I23" s="39">
        <f>INT((I17+I16-I22)/I21)</f>
        <v>4</v>
      </c>
      <c r="J23" s="39">
        <f>INT((J17+J16-J22)/J21)</f>
        <v>4</v>
      </c>
      <c r="K23" s="61" t="s">
        <v>32</v>
      </c>
      <c r="L23" s="65" t="s">
        <v>33</v>
      </c>
      <c r="M23" s="1"/>
      <c r="N23" s="5"/>
      <c r="O23" s="1"/>
      <c r="P23" s="22"/>
      <c r="Q23" s="16"/>
      <c r="R23" s="22"/>
      <c r="S23" s="69">
        <v>4</v>
      </c>
      <c r="T23" s="70">
        <v>0.5</v>
      </c>
      <c r="U23" s="71">
        <v>-0.5</v>
      </c>
      <c r="V23" s="39">
        <f t="shared" si="0"/>
        <v>4</v>
      </c>
      <c r="W23" s="39">
        <f t="shared" si="1"/>
        <v>0.5</v>
      </c>
      <c r="X23" s="40"/>
      <c r="Y23" s="40">
        <f t="shared" si="2"/>
        <v>0.29883623873011972</v>
      </c>
      <c r="Z23" s="41">
        <f t="shared" si="3"/>
        <v>-0.75344089292011351</v>
      </c>
      <c r="AA23" s="39">
        <f t="shared" si="4"/>
        <v>4</v>
      </c>
      <c r="AB23" s="39">
        <f t="shared" si="5"/>
        <v>0.5</v>
      </c>
      <c r="AC23" s="40"/>
      <c r="AD23" s="40">
        <f t="shared" si="6"/>
        <v>0.29883623873011972</v>
      </c>
      <c r="AE23" s="41">
        <f t="shared" si="7"/>
        <v>-0.75344089292011351</v>
      </c>
      <c r="AF23" s="39">
        <f t="shared" si="8"/>
        <v>4</v>
      </c>
      <c r="AG23" s="39">
        <f t="shared" si="9"/>
        <v>0.5</v>
      </c>
      <c r="AH23" s="39"/>
      <c r="AI23" s="40">
        <f t="shared" si="10"/>
        <v>0.64085638205578865</v>
      </c>
      <c r="AJ23" s="41">
        <f t="shared" si="11"/>
        <v>0.58243082125727907</v>
      </c>
    </row>
    <row r="24" spans="2:36" ht="16" customHeight="1">
      <c r="F24"/>
      <c r="G24" s="1" t="s">
        <v>60</v>
      </c>
      <c r="H24" s="39">
        <f>(H22-H16)/H17-0.5</f>
        <v>-0.3</v>
      </c>
      <c r="I24" s="39">
        <f>(I22-I16)/I17-0.5</f>
        <v>-0.3</v>
      </c>
      <c r="J24" s="39">
        <f>(J22-J16)/J17-0.5</f>
        <v>-0.3</v>
      </c>
      <c r="K24" s="57">
        <v>-0.5</v>
      </c>
      <c r="L24" s="58">
        <v>-0.5</v>
      </c>
      <c r="M24" s="54">
        <f>(H$27*$H$13+K24*$I$13+L24*$J$13+$D$27)*$C$27</f>
        <v>-0.29883623873011983</v>
      </c>
      <c r="N24" s="51">
        <f>(H$27*$H$14+K24*$I$14+L24*$J$14+$E$27)*$C$27</f>
        <v>-0.11258451086432519</v>
      </c>
      <c r="O24" s="54">
        <f>(K24*$H$13+I$27*$I$13+L24*$J$13+$D$27)*$C$27</f>
        <v>-0.29883623873011983</v>
      </c>
      <c r="P24" s="51">
        <f>(K24*$H$14+I$27*$I$14+L24*$J$14+$E$27)*$C$27</f>
        <v>-0.11258451086432519</v>
      </c>
      <c r="Q24" s="54">
        <f>(K24*$H$13+L24*$I$13+J$27*$J$13+$D$27)*$C$27</f>
        <v>-0.29883623873011983</v>
      </c>
      <c r="R24" s="51">
        <f>(K24*$H$14+L24*$I$14+J$27*$J$14+$E$27)*$C$27</f>
        <v>-0.11258451086432519</v>
      </c>
      <c r="S24" s="69">
        <v>5</v>
      </c>
      <c r="T24" s="70">
        <v>0.5</v>
      </c>
      <c r="U24" s="71">
        <v>-0.5</v>
      </c>
      <c r="V24" s="39">
        <f t="shared" si="0"/>
        <v>4</v>
      </c>
      <c r="W24" s="39">
        <f t="shared" si="1"/>
        <v>0.5</v>
      </c>
      <c r="X24" s="40"/>
      <c r="Y24" s="40">
        <f t="shared" si="2"/>
        <v>0.29883623873011972</v>
      </c>
      <c r="Z24" s="41">
        <f t="shared" si="3"/>
        <v>-0.75344089292011351</v>
      </c>
      <c r="AA24" s="39">
        <f t="shared" si="4"/>
        <v>4</v>
      </c>
      <c r="AB24" s="39">
        <f t="shared" si="5"/>
        <v>0.5</v>
      </c>
      <c r="AC24" s="40"/>
      <c r="AD24" s="40">
        <f t="shared" si="6"/>
        <v>0.29883623873011972</v>
      </c>
      <c r="AE24" s="41">
        <f t="shared" si="7"/>
        <v>-0.75344089292011351</v>
      </c>
      <c r="AF24" s="39">
        <f t="shared" si="8"/>
        <v>4</v>
      </c>
      <c r="AG24" s="39">
        <f t="shared" si="9"/>
        <v>0.5</v>
      </c>
      <c r="AH24" s="39"/>
      <c r="AI24" s="40">
        <f t="shared" si="10"/>
        <v>0.64085638205578865</v>
      </c>
      <c r="AJ24" s="41">
        <f t="shared" si="11"/>
        <v>0.58243082125727907</v>
      </c>
    </row>
    <row r="25" spans="2:36" ht="16" customHeight="1">
      <c r="B25" s="5"/>
      <c r="C25" s="26" t="s">
        <v>22</v>
      </c>
      <c r="D25" s="6" t="s">
        <v>20</v>
      </c>
      <c r="E25" s="7" t="s">
        <v>21</v>
      </c>
      <c r="F25"/>
      <c r="G25" s="1" t="s">
        <v>61</v>
      </c>
      <c r="H25" s="39">
        <f>H21/H17</f>
        <v>0.2</v>
      </c>
      <c r="I25" s="39">
        <f>I21/I17</f>
        <v>0.2</v>
      </c>
      <c r="J25" s="39">
        <f>J21/J17</f>
        <v>0.2</v>
      </c>
      <c r="K25" s="57">
        <v>0.5</v>
      </c>
      <c r="L25" s="58">
        <v>-0.5</v>
      </c>
      <c r="M25" s="54">
        <f>(H$27*$H$13+K25*$I$13+L25*$J$13+$D$27)*$C$27</f>
        <v>0.64085638205578843</v>
      </c>
      <c r="N25" s="51">
        <f>(H$27*$H$14+K25*$I$14+L25*$J$14+$E$27)*$C$27</f>
        <v>-0.28359458252715963</v>
      </c>
      <c r="O25" s="54">
        <f>(K25*$H$13+I$27*$I$13+L25*$J$13+$D$27)*$C$27</f>
        <v>-0.64085638205578865</v>
      </c>
      <c r="P25" s="51">
        <f>(K25*$H$14+I$27*$I$14+L25*$J$14+$E$27)*$C$27</f>
        <v>-0.58243082125727907</v>
      </c>
      <c r="Q25" s="54">
        <f>(K25*$H$13+L25*$I$13+J$27*$J$13+$D$27)*$C$27</f>
        <v>-0.64085638205578865</v>
      </c>
      <c r="R25" s="51">
        <f>(K25*$H$14+L25*$I$14+J$27*$J$14+$E$27)*$C$27</f>
        <v>-0.58243082125727907</v>
      </c>
      <c r="S25" s="69">
        <v>5</v>
      </c>
      <c r="T25" s="70">
        <v>0.6</v>
      </c>
      <c r="U25" s="71">
        <v>-0.5</v>
      </c>
      <c r="V25" s="39">
        <f t="shared" si="0"/>
        <v>4</v>
      </c>
      <c r="W25" s="39">
        <f t="shared" si="1"/>
        <v>0.5</v>
      </c>
      <c r="X25" s="40">
        <f>H$22+V25*H$21</f>
        <v>500</v>
      </c>
      <c r="Y25" s="40">
        <f t="shared" si="2"/>
        <v>0.39280550080871052</v>
      </c>
      <c r="Z25" s="41">
        <f t="shared" si="3"/>
        <v>-0.77054190008639689</v>
      </c>
      <c r="AA25" s="39">
        <f t="shared" si="4"/>
        <v>4</v>
      </c>
      <c r="AB25" s="39">
        <f t="shared" si="5"/>
        <v>0.5</v>
      </c>
      <c r="AC25" s="40">
        <f>I$22+AA25*I$21</f>
        <v>500</v>
      </c>
      <c r="AD25" s="40">
        <f t="shared" si="6"/>
        <v>0.26463422439755285</v>
      </c>
      <c r="AE25" s="41">
        <f t="shared" si="7"/>
        <v>-0.80042552395940891</v>
      </c>
      <c r="AF25" s="39">
        <f t="shared" si="8"/>
        <v>4</v>
      </c>
      <c r="AG25" s="39">
        <f t="shared" si="9"/>
        <v>0.5</v>
      </c>
      <c r="AH25" s="39">
        <f>J$22+AF25*J$21</f>
        <v>500</v>
      </c>
      <c r="AI25" s="40">
        <f t="shared" si="10"/>
        <v>0.73482564413437956</v>
      </c>
      <c r="AJ25" s="41">
        <f t="shared" si="11"/>
        <v>0.5653298140909957</v>
      </c>
    </row>
    <row r="26" spans="2:36" ht="16" customHeight="1">
      <c r="B26" s="5"/>
      <c r="C26" s="31">
        <v>0</v>
      </c>
      <c r="D26" s="16">
        <v>50</v>
      </c>
      <c r="E26" s="22">
        <v>50</v>
      </c>
      <c r="F26"/>
      <c r="G26" s="2" t="s">
        <v>26</v>
      </c>
      <c r="H26" s="39"/>
      <c r="I26" s="39"/>
      <c r="J26" s="39"/>
      <c r="K26" s="57">
        <v>0.5</v>
      </c>
      <c r="L26" s="58">
        <v>0.5</v>
      </c>
      <c r="M26" s="54">
        <f>(H$27*$H$13+K26*$I$13+L26*$J$13+$D$27)*$C$27</f>
        <v>0.64085638205578865</v>
      </c>
      <c r="N26" s="51">
        <f>(H$27*$H$14+K26*$I$14+L26*$J$14+$E$27)*$C$27</f>
        <v>0.58243082125727907</v>
      </c>
      <c r="O26" s="54">
        <f>(K26*$H$13+I$27*$I$13+L26*$J$13+$D$27)*$C$27</f>
        <v>-0.64085638205578843</v>
      </c>
      <c r="P26" s="51">
        <f>(K26*$H$14+I$27*$I$14+L26*$J$14+$E$27)*$C$27</f>
        <v>0.28359458252715963</v>
      </c>
      <c r="Q26" s="54">
        <f>(K26*$H$13+L26*$I$13+J$27*$J$13+$D$27)*$C$27</f>
        <v>0.29883623873011972</v>
      </c>
      <c r="R26" s="51">
        <f>(K26*$H$14+L26*$I$14+J$27*$J$14+$E$27)*$C$27</f>
        <v>-0.75344089292011351</v>
      </c>
      <c r="S26" s="69">
        <v>5</v>
      </c>
      <c r="T26" s="70">
        <v>0.5</v>
      </c>
      <c r="U26" s="71">
        <v>-0.5</v>
      </c>
      <c r="V26" s="39">
        <f t="shared" si="0"/>
        <v>4</v>
      </c>
      <c r="W26" s="39">
        <f t="shared" si="1"/>
        <v>0.5</v>
      </c>
      <c r="X26" s="40"/>
      <c r="Y26" s="40">
        <f t="shared" si="2"/>
        <v>0.29883623873011972</v>
      </c>
      <c r="Z26" s="41">
        <f t="shared" si="3"/>
        <v>-0.75344089292011351</v>
      </c>
      <c r="AA26" s="39">
        <f t="shared" si="4"/>
        <v>4</v>
      </c>
      <c r="AB26" s="39">
        <f t="shared" si="5"/>
        <v>0.5</v>
      </c>
      <c r="AC26" s="40"/>
      <c r="AD26" s="40">
        <f t="shared" si="6"/>
        <v>0.29883623873011972</v>
      </c>
      <c r="AE26" s="41">
        <f t="shared" si="7"/>
        <v>-0.75344089292011351</v>
      </c>
      <c r="AF26" s="39">
        <f t="shared" si="8"/>
        <v>4</v>
      </c>
      <c r="AG26" s="39">
        <f t="shared" si="9"/>
        <v>0.5</v>
      </c>
      <c r="AH26" s="39"/>
      <c r="AI26" s="40">
        <f t="shared" si="10"/>
        <v>0.64085638205578865</v>
      </c>
      <c r="AJ26" s="41">
        <f t="shared" si="11"/>
        <v>0.58243082125727907</v>
      </c>
    </row>
    <row r="27" spans="2:36" ht="16" customHeight="1">
      <c r="B27" s="5"/>
      <c r="C27" s="48">
        <f>(1+C26/50)^2</f>
        <v>1</v>
      </c>
      <c r="D27" s="42">
        <f>D26/100-0.5</f>
        <v>0</v>
      </c>
      <c r="E27" s="43">
        <f>-E26/100+0.5</f>
        <v>0</v>
      </c>
      <c r="F27"/>
      <c r="G27" s="1" t="s">
        <v>15</v>
      </c>
      <c r="H27" s="39">
        <f>C14/100-0.5</f>
        <v>-0.5</v>
      </c>
      <c r="I27" s="39">
        <f>D14/100-0.5</f>
        <v>-0.5</v>
      </c>
      <c r="J27" s="39">
        <f>E14/100-0.5</f>
        <v>-0.5</v>
      </c>
      <c r="K27" s="57">
        <v>-0.5</v>
      </c>
      <c r="L27" s="58">
        <v>0.5</v>
      </c>
      <c r="M27" s="54">
        <f>(H$27*$H$13+K27*$I$13+L27*$J$13+$D$27)*$C$27</f>
        <v>-0.29883623873011972</v>
      </c>
      <c r="N27" s="51">
        <f>(H$27*$H$14+K27*$I$14+L27*$J$14+$E$27)*$C$27</f>
        <v>0.75344089292011351</v>
      </c>
      <c r="O27" s="54">
        <f>(K27*$H$13+I$27*$I$13+L27*$J$13+$D$27)*$C$27</f>
        <v>-0.29883623873011972</v>
      </c>
      <c r="P27" s="51">
        <f>(K27*$H$14+I$27*$I$14+L27*$J$14+$E$27)*$C$27</f>
        <v>0.75344089292011351</v>
      </c>
      <c r="Q27" s="54">
        <f>(K27*$H$13+L27*$I$13+J$27*$J$13+$D$27)*$C$27</f>
        <v>0.64085638205578843</v>
      </c>
      <c r="R27" s="51">
        <f>(K27*$H$14+L27*$I$14+J$27*$J$14+$E$27)*$C$27</f>
        <v>-0.28359458252715963</v>
      </c>
      <c r="S27" s="69">
        <v>6</v>
      </c>
      <c r="T27" s="70">
        <v>0.5</v>
      </c>
      <c r="U27" s="71">
        <v>-0.5</v>
      </c>
      <c r="V27" s="39">
        <f t="shared" si="0"/>
        <v>4</v>
      </c>
      <c r="W27" s="39">
        <f t="shared" si="1"/>
        <v>0.5</v>
      </c>
      <c r="X27" s="40"/>
      <c r="Y27" s="40">
        <f t="shared" si="2"/>
        <v>0.29883623873011972</v>
      </c>
      <c r="Z27" s="41">
        <f t="shared" si="3"/>
        <v>-0.75344089292011351</v>
      </c>
      <c r="AA27" s="39">
        <f t="shared" si="4"/>
        <v>4</v>
      </c>
      <c r="AB27" s="39">
        <f t="shared" si="5"/>
        <v>0.5</v>
      </c>
      <c r="AC27" s="40"/>
      <c r="AD27" s="40">
        <f t="shared" si="6"/>
        <v>0.29883623873011972</v>
      </c>
      <c r="AE27" s="41">
        <f t="shared" si="7"/>
        <v>-0.75344089292011351</v>
      </c>
      <c r="AF27" s="39">
        <f t="shared" si="8"/>
        <v>4</v>
      </c>
      <c r="AG27" s="39">
        <f t="shared" si="9"/>
        <v>0.5</v>
      </c>
      <c r="AH27" s="39"/>
      <c r="AI27" s="40">
        <f t="shared" si="10"/>
        <v>0.64085638205578865</v>
      </c>
      <c r="AJ27" s="41">
        <f t="shared" si="11"/>
        <v>0.58243082125727907</v>
      </c>
    </row>
    <row r="28" spans="2:36" ht="16" customHeight="1">
      <c r="K28" s="59">
        <v>-0.5</v>
      </c>
      <c r="L28" s="60">
        <v>-0.5</v>
      </c>
      <c r="M28" s="54">
        <f>(H$27*$H$13+K28*$I$13+L28*$J$13+$D$27)*$C$27</f>
        <v>-0.29883623873011983</v>
      </c>
      <c r="N28" s="51">
        <f>(H$27*$H$14+K28*$I$14+L28*$J$14+$E$27)*$C$27</f>
        <v>-0.11258451086432519</v>
      </c>
      <c r="O28" s="54">
        <f>(K28*$H$13+I$27*$I$13+L28*$J$13+$D$27)*$C$27</f>
        <v>-0.29883623873011983</v>
      </c>
      <c r="P28" s="51">
        <f>(K28*$H$14+I$27*$I$14+L28*$J$14+$E$27)*$C$27</f>
        <v>-0.11258451086432519</v>
      </c>
      <c r="Q28" s="54">
        <f>(K28*$H$13+L28*$I$13+J$27*$J$13+$D$27)*$C$27</f>
        <v>-0.29883623873011983</v>
      </c>
      <c r="R28" s="51">
        <f>(K28*$H$14+L28*$I$14+J$27*$J$14+$E$27)*$C$27</f>
        <v>-0.11258451086432519</v>
      </c>
      <c r="S28" s="69">
        <v>6</v>
      </c>
      <c r="T28" s="70">
        <v>0.6</v>
      </c>
      <c r="U28" s="71">
        <v>-0.5</v>
      </c>
      <c r="V28" s="39">
        <f t="shared" si="0"/>
        <v>4</v>
      </c>
      <c r="W28" s="39">
        <f t="shared" si="1"/>
        <v>0.5</v>
      </c>
      <c r="X28" s="40">
        <f>H$22+V28*H$21</f>
        <v>500</v>
      </c>
      <c r="Y28" s="40">
        <f t="shared" si="2"/>
        <v>0.39280550080871052</v>
      </c>
      <c r="Z28" s="41">
        <f t="shared" si="3"/>
        <v>-0.77054190008639689</v>
      </c>
      <c r="AA28" s="39">
        <f t="shared" si="4"/>
        <v>4</v>
      </c>
      <c r="AB28" s="39">
        <f t="shared" si="5"/>
        <v>0.5</v>
      </c>
      <c r="AC28" s="40">
        <f>I$22+AA28*I$21</f>
        <v>500</v>
      </c>
      <c r="AD28" s="40">
        <f t="shared" si="6"/>
        <v>0.26463422439755285</v>
      </c>
      <c r="AE28" s="41">
        <f t="shared" si="7"/>
        <v>-0.80042552395940891</v>
      </c>
      <c r="AF28" s="39">
        <f t="shared" si="8"/>
        <v>4</v>
      </c>
      <c r="AG28" s="39">
        <f t="shared" si="9"/>
        <v>0.5</v>
      </c>
      <c r="AH28" s="39">
        <f>J$22+AF28*J$21</f>
        <v>500</v>
      </c>
      <c r="AI28" s="40">
        <f t="shared" si="10"/>
        <v>0.73482564413437956</v>
      </c>
      <c r="AJ28" s="41">
        <f t="shared" si="11"/>
        <v>0.5653298140909957</v>
      </c>
    </row>
    <row r="29" spans="2:36">
      <c r="K29" s="5"/>
      <c r="M29" s="1"/>
      <c r="N29" s="5"/>
      <c r="O29" s="1"/>
      <c r="P29" s="22"/>
      <c r="Q29" s="16"/>
      <c r="R29" s="22"/>
      <c r="S29" s="72">
        <v>6</v>
      </c>
      <c r="T29" s="73">
        <v>0.5</v>
      </c>
      <c r="U29" s="74">
        <v>-0.5</v>
      </c>
      <c r="V29" s="42">
        <f t="shared" si="0"/>
        <v>4</v>
      </c>
      <c r="W29" s="42">
        <f t="shared" si="1"/>
        <v>0.5</v>
      </c>
      <c r="X29" s="42"/>
      <c r="Y29" s="42">
        <f t="shared" si="2"/>
        <v>0.29883623873011972</v>
      </c>
      <c r="Z29" s="43">
        <f t="shared" si="3"/>
        <v>-0.75344089292011351</v>
      </c>
      <c r="AA29" s="42">
        <f t="shared" si="4"/>
        <v>4</v>
      </c>
      <c r="AB29" s="42">
        <f t="shared" si="5"/>
        <v>0.5</v>
      </c>
      <c r="AC29" s="42"/>
      <c r="AD29" s="42">
        <f t="shared" si="6"/>
        <v>0.29883623873011972</v>
      </c>
      <c r="AE29" s="43">
        <f t="shared" si="7"/>
        <v>-0.75344089292011351</v>
      </c>
      <c r="AF29" s="42">
        <f t="shared" si="8"/>
        <v>4</v>
      </c>
      <c r="AG29" s="42">
        <f t="shared" si="9"/>
        <v>0.5</v>
      </c>
      <c r="AH29" s="42"/>
      <c r="AI29" s="42">
        <f t="shared" si="10"/>
        <v>0.64085638205578865</v>
      </c>
      <c r="AJ29" s="43">
        <f t="shared" si="11"/>
        <v>0.58243082125727907</v>
      </c>
    </row>
    <row r="30" spans="2:36">
      <c r="C30" s="82"/>
      <c r="D30" s="82"/>
      <c r="E30" s="82"/>
      <c r="F30"/>
      <c r="G30" s="1"/>
      <c r="K30" s="5"/>
      <c r="M30" s="1"/>
      <c r="N30" s="5"/>
      <c r="O30" s="1"/>
      <c r="P30" s="22"/>
      <c r="Q30" s="16"/>
      <c r="R30" s="22"/>
      <c r="S30"/>
      <c r="T30"/>
      <c r="U30"/>
      <c r="V30" s="10"/>
      <c r="W30" s="10"/>
      <c r="X30" s="10"/>
      <c r="AI30" s="5"/>
    </row>
    <row r="31" spans="2:36">
      <c r="F31"/>
      <c r="G31" s="1"/>
      <c r="H31" s="2" t="s">
        <v>52</v>
      </c>
      <c r="I31" s="3"/>
      <c r="J31" s="3"/>
      <c r="K31" s="18" t="s">
        <v>53</v>
      </c>
      <c r="L31" s="3"/>
      <c r="M31" s="2" t="s">
        <v>28</v>
      </c>
      <c r="N31" s="18"/>
      <c r="O31" s="2" t="s">
        <v>31</v>
      </c>
      <c r="P31" s="24"/>
      <c r="Q31" s="18" t="s">
        <v>30</v>
      </c>
      <c r="R31" s="22"/>
      <c r="AI31" s="5"/>
    </row>
    <row r="32" spans="2:36" ht="17.5">
      <c r="B32" s="55" t="s">
        <v>34</v>
      </c>
      <c r="C32" s="56" t="s">
        <v>82</v>
      </c>
      <c r="D32" s="56" t="s">
        <v>83</v>
      </c>
      <c r="E32" s="56" t="s">
        <v>84</v>
      </c>
      <c r="F32" s="55" t="s">
        <v>23</v>
      </c>
      <c r="G32" s="10" t="s">
        <v>0</v>
      </c>
      <c r="H32" s="33" t="s">
        <v>85</v>
      </c>
      <c r="I32" s="33" t="s">
        <v>86</v>
      </c>
      <c r="J32" s="33" t="s">
        <v>87</v>
      </c>
      <c r="K32" s="5" t="s">
        <v>54</v>
      </c>
      <c r="L32" t="s">
        <v>55</v>
      </c>
      <c r="M32" s="8" t="s">
        <v>27</v>
      </c>
      <c r="N32" s="9" t="s">
        <v>29</v>
      </c>
      <c r="O32" s="34" t="s">
        <v>1</v>
      </c>
      <c r="P32" s="35" t="s">
        <v>2</v>
      </c>
      <c r="Q32" s="34" t="s">
        <v>3</v>
      </c>
      <c r="R32" s="35" t="s">
        <v>4</v>
      </c>
      <c r="AI32" s="5"/>
    </row>
    <row r="33" spans="2:35">
      <c r="B33" s="80" t="s">
        <v>97</v>
      </c>
      <c r="C33" s="75">
        <v>0</v>
      </c>
      <c r="D33" s="75">
        <v>0</v>
      </c>
      <c r="E33" s="75">
        <v>0</v>
      </c>
      <c r="F33" s="79"/>
      <c r="G33" s="77">
        <f t="shared" ref="G33:G39" si="14">D$19*(L33-R33)</f>
        <v>0</v>
      </c>
      <c r="H33" s="77">
        <f t="shared" ref="H33:J39" si="15">(C33-H$16)/H$17-0.5</f>
        <v>-0.5</v>
      </c>
      <c r="I33" s="76">
        <f t="shared" si="15"/>
        <v>-0.5</v>
      </c>
      <c r="J33" s="76">
        <f t="shared" si="15"/>
        <v>-0.5</v>
      </c>
      <c r="K33" s="77">
        <f t="shared" ref="K33:K39" si="16">(H33*$H$13+I33*$I$13+J33*$J$13+$D$27)*$C$27</f>
        <v>-0.29883623873011983</v>
      </c>
      <c r="L33" s="78">
        <f t="shared" ref="L33:L39" si="17">(H33*$H$14+I33*$I$14+J33*$J$14+$E$27)*$C$27</f>
        <v>-0.11258451086432519</v>
      </c>
      <c r="M33" s="77">
        <f t="shared" ref="M33:M39" si="18">(H$27*$H$13+I33*$I$13+J33*$J$13+$D$27)*$C$27</f>
        <v>-0.29883623873011983</v>
      </c>
      <c r="N33" s="78">
        <f t="shared" ref="N33:N39" si="19">(H$27*$H$14+I33*$I$14+J33*$J$14+$E$27)*$C$27</f>
        <v>-0.11258451086432519</v>
      </c>
      <c r="O33" s="77">
        <f t="shared" ref="O33:O39" si="20">(H33*$H$13+I$27*$I$13+J33*$J$13+$D$27)*$C$27</f>
        <v>-0.29883623873011983</v>
      </c>
      <c r="P33" s="78">
        <f t="shared" ref="P33:P39" si="21">(H33*$H$14+I$27*$I$14+J33*$J$14+$E$27)*$C$27</f>
        <v>-0.11258451086432519</v>
      </c>
      <c r="Q33" s="77">
        <f t="shared" ref="Q33:Q39" si="22">(H33*$H$13+I33*$I$13+J$27*$J$13+$D$27)*$C$27</f>
        <v>-0.29883623873011983</v>
      </c>
      <c r="R33" s="78">
        <f t="shared" ref="R33:R39" si="23">(H33*$H$14+I33*$I$14+J$27*$J$14+$E$27)*$C$27</f>
        <v>-0.11258451086432519</v>
      </c>
      <c r="AI33" s="5"/>
    </row>
    <row r="34" spans="2:35">
      <c r="B34" s="80" t="s">
        <v>94</v>
      </c>
      <c r="C34" s="75">
        <f>C42</f>
        <v>500</v>
      </c>
      <c r="D34" s="83">
        <v>0</v>
      </c>
      <c r="E34" s="83">
        <f>E42</f>
        <v>500</v>
      </c>
      <c r="F34" s="79"/>
      <c r="G34" s="77">
        <f t="shared" si="14"/>
        <v>0</v>
      </c>
      <c r="H34" s="77">
        <f t="shared" si="15"/>
        <v>0.5</v>
      </c>
      <c r="I34" s="76">
        <f t="shared" si="15"/>
        <v>-0.5</v>
      </c>
      <c r="J34" s="76">
        <f t="shared" si="15"/>
        <v>0.5</v>
      </c>
      <c r="K34" s="77">
        <f t="shared" si="16"/>
        <v>-0.64085638205578843</v>
      </c>
      <c r="L34" s="78">
        <f t="shared" si="17"/>
        <v>0.28359458252715963</v>
      </c>
      <c r="M34" s="77">
        <f t="shared" si="18"/>
        <v>-0.29883623873011972</v>
      </c>
      <c r="N34" s="78">
        <f t="shared" si="19"/>
        <v>0.75344089292011351</v>
      </c>
      <c r="O34" s="77">
        <f t="shared" si="20"/>
        <v>-0.64085638205578843</v>
      </c>
      <c r="P34" s="78">
        <f t="shared" si="21"/>
        <v>0.28359458252715963</v>
      </c>
      <c r="Q34" s="77">
        <f t="shared" si="22"/>
        <v>-0.64085638205578865</v>
      </c>
      <c r="R34" s="78">
        <f t="shared" si="23"/>
        <v>-0.58243082125727907</v>
      </c>
    </row>
    <row r="35" spans="2:35">
      <c r="B35" s="80" t="s">
        <v>96</v>
      </c>
      <c r="C35" s="75">
        <v>0</v>
      </c>
      <c r="D35" s="75">
        <f>D42</f>
        <v>500</v>
      </c>
      <c r="E35" s="75">
        <f>E42</f>
        <v>500</v>
      </c>
      <c r="F35" s="79"/>
      <c r="G35" s="76">
        <f t="shared" si="14"/>
        <v>0</v>
      </c>
      <c r="H35" s="77">
        <f t="shared" si="15"/>
        <v>-0.5</v>
      </c>
      <c r="I35" s="76">
        <f t="shared" si="15"/>
        <v>0.5</v>
      </c>
      <c r="J35" s="76">
        <f t="shared" si="15"/>
        <v>0.5</v>
      </c>
      <c r="K35" s="77">
        <f t="shared" si="16"/>
        <v>0.64085638205578865</v>
      </c>
      <c r="L35" s="78">
        <f t="shared" si="17"/>
        <v>0.58243082125727907</v>
      </c>
      <c r="M35" s="77">
        <f t="shared" si="18"/>
        <v>0.64085638205578865</v>
      </c>
      <c r="N35" s="78">
        <f t="shared" si="19"/>
        <v>0.58243082125727907</v>
      </c>
      <c r="O35" s="77">
        <f t="shared" si="20"/>
        <v>-0.29883623873011972</v>
      </c>
      <c r="P35" s="78">
        <f t="shared" si="21"/>
        <v>0.75344089292011351</v>
      </c>
      <c r="Q35" s="77">
        <f t="shared" si="22"/>
        <v>0.64085638205578843</v>
      </c>
      <c r="R35" s="78">
        <f t="shared" si="23"/>
        <v>-0.28359458252715963</v>
      </c>
    </row>
    <row r="36" spans="2:35">
      <c r="B36" s="80" t="s">
        <v>95</v>
      </c>
      <c r="C36" s="75">
        <f>C42</f>
        <v>500</v>
      </c>
      <c r="D36" s="75">
        <f>D42</f>
        <v>500</v>
      </c>
      <c r="E36" s="75">
        <f>E42</f>
        <v>500</v>
      </c>
      <c r="F36" s="79"/>
      <c r="G36" s="76">
        <f t="shared" si="14"/>
        <v>0</v>
      </c>
      <c r="H36" s="77">
        <f t="shared" si="15"/>
        <v>0.5</v>
      </c>
      <c r="I36" s="76">
        <f t="shared" si="15"/>
        <v>0.5</v>
      </c>
      <c r="J36" s="76">
        <f t="shared" si="15"/>
        <v>0.5</v>
      </c>
      <c r="K36" s="77">
        <f t="shared" si="16"/>
        <v>0.29883623873011983</v>
      </c>
      <c r="L36" s="78">
        <f t="shared" si="17"/>
        <v>0.11258451086432519</v>
      </c>
      <c r="M36" s="77">
        <f t="shared" si="18"/>
        <v>0.64085638205578865</v>
      </c>
      <c r="N36" s="78">
        <f t="shared" si="19"/>
        <v>0.58243082125727907</v>
      </c>
      <c r="O36" s="77">
        <f t="shared" si="20"/>
        <v>-0.64085638205578843</v>
      </c>
      <c r="P36" s="78">
        <f t="shared" si="21"/>
        <v>0.28359458252715963</v>
      </c>
      <c r="Q36" s="77">
        <f t="shared" si="22"/>
        <v>0.29883623873011972</v>
      </c>
      <c r="R36" s="78">
        <f t="shared" si="23"/>
        <v>-0.75344089292011351</v>
      </c>
    </row>
    <row r="37" spans="2:35">
      <c r="B37" s="80" t="s">
        <v>91</v>
      </c>
      <c r="C37" s="75">
        <f>C51</f>
        <v>306.79823000000005</v>
      </c>
      <c r="D37" s="75">
        <f>C52</f>
        <v>284.21600000000001</v>
      </c>
      <c r="E37" s="75">
        <f>C53</f>
        <v>164.10297000000003</v>
      </c>
      <c r="F37" s="79"/>
      <c r="G37" s="76">
        <f t="shared" si="14"/>
        <v>0</v>
      </c>
      <c r="H37" s="77">
        <f t="shared" si="15"/>
        <v>0.11359646000000012</v>
      </c>
      <c r="I37" s="76">
        <f t="shared" si="15"/>
        <v>6.8432000000000048E-2</v>
      </c>
      <c r="J37" s="76">
        <f t="shared" si="15"/>
        <v>-0.17179405999999997</v>
      </c>
      <c r="K37" s="77">
        <f t="shared" si="16"/>
        <v>2.5452767895132657E-2</v>
      </c>
      <c r="L37" s="78">
        <f t="shared" si="17"/>
        <v>-0.21385345900799999</v>
      </c>
      <c r="M37" s="77">
        <f t="shared" si="18"/>
        <v>0.23531511708845571</v>
      </c>
      <c r="N37" s="78">
        <f t="shared" si="19"/>
        <v>7.4442573793177785E-2</v>
      </c>
      <c r="O37" s="77">
        <f t="shared" si="20"/>
        <v>-0.5086985879234428</v>
      </c>
      <c r="P37" s="78">
        <f t="shared" si="21"/>
        <v>-0.11664586195255167</v>
      </c>
      <c r="Q37" s="77">
        <f t="shared" si="22"/>
        <v>2.5452767895132615E-2</v>
      </c>
      <c r="R37" s="78">
        <f t="shared" si="23"/>
        <v>-0.49808814072095131</v>
      </c>
    </row>
    <row r="38" spans="2:35">
      <c r="B38" s="80" t="str">
        <f t="shared" ref="B38:B39" si="24">"z="&amp;IF(VALUE(E38)=0,E38,ROUND(E38,2-INT(LOG(ABS(E38))+1)))</f>
        <v>z=</v>
      </c>
      <c r="C38" s="75"/>
      <c r="D38" s="75"/>
      <c r="E38" s="75"/>
      <c r="F38" s="79"/>
      <c r="G38" s="76">
        <f t="shared" si="14"/>
        <v>0</v>
      </c>
      <c r="H38" s="77">
        <f t="shared" si="15"/>
        <v>-0.5</v>
      </c>
      <c r="I38" s="76">
        <f t="shared" si="15"/>
        <v>-0.5</v>
      </c>
      <c r="J38" s="76">
        <f t="shared" si="15"/>
        <v>-0.5</v>
      </c>
      <c r="K38" s="77">
        <f t="shared" si="16"/>
        <v>-0.29883623873011983</v>
      </c>
      <c r="L38" s="78">
        <f t="shared" si="17"/>
        <v>-0.11258451086432519</v>
      </c>
      <c r="M38" s="77">
        <f t="shared" si="18"/>
        <v>-0.29883623873011983</v>
      </c>
      <c r="N38" s="78">
        <f t="shared" si="19"/>
        <v>-0.11258451086432519</v>
      </c>
      <c r="O38" s="77">
        <f t="shared" si="20"/>
        <v>-0.29883623873011983</v>
      </c>
      <c r="P38" s="78">
        <f t="shared" si="21"/>
        <v>-0.11258451086432519</v>
      </c>
      <c r="Q38" s="77">
        <f t="shared" si="22"/>
        <v>-0.29883623873011983</v>
      </c>
      <c r="R38" s="78">
        <f t="shared" si="23"/>
        <v>-0.11258451086432519</v>
      </c>
    </row>
    <row r="39" spans="2:35">
      <c r="B39" s="80" t="str">
        <f t="shared" si="24"/>
        <v>z=</v>
      </c>
      <c r="C39" s="75"/>
      <c r="D39" s="75"/>
      <c r="E39" s="75"/>
      <c r="F39" s="79"/>
      <c r="G39" s="76">
        <f t="shared" si="14"/>
        <v>0</v>
      </c>
      <c r="H39" s="76">
        <f t="shared" si="15"/>
        <v>-0.5</v>
      </c>
      <c r="I39" s="76">
        <f t="shared" si="15"/>
        <v>-0.5</v>
      </c>
      <c r="J39" s="76">
        <f t="shared" si="15"/>
        <v>-0.5</v>
      </c>
      <c r="K39" s="76">
        <f t="shared" si="16"/>
        <v>-0.29883623873011983</v>
      </c>
      <c r="L39" s="76">
        <f t="shared" si="17"/>
        <v>-0.11258451086432519</v>
      </c>
      <c r="M39" s="76">
        <f t="shared" si="18"/>
        <v>-0.29883623873011983</v>
      </c>
      <c r="N39" s="76">
        <f t="shared" si="19"/>
        <v>-0.11258451086432519</v>
      </c>
      <c r="O39" s="76">
        <f t="shared" si="20"/>
        <v>-0.29883623873011983</v>
      </c>
      <c r="P39" s="76">
        <f t="shared" si="21"/>
        <v>-0.11258451086432519</v>
      </c>
      <c r="Q39" s="76">
        <f t="shared" si="22"/>
        <v>-0.29883623873011983</v>
      </c>
      <c r="R39" s="76">
        <f t="shared" si="23"/>
        <v>-0.11258451086432519</v>
      </c>
    </row>
    <row r="40" spans="2:35">
      <c r="F40"/>
      <c r="G40"/>
    </row>
    <row r="41" spans="2:35">
      <c r="C41" s="82" t="s">
        <v>89</v>
      </c>
      <c r="D41" s="82" t="s">
        <v>90</v>
      </c>
      <c r="E41" s="82" t="s">
        <v>88</v>
      </c>
      <c r="F41" s="82"/>
      <c r="G41"/>
    </row>
    <row r="42" spans="2:35">
      <c r="C42">
        <v>500</v>
      </c>
      <c r="D42">
        <v>500</v>
      </c>
      <c r="E42">
        <v>500</v>
      </c>
      <c r="F42"/>
      <c r="G42"/>
    </row>
    <row r="43" spans="2:35">
      <c r="C43" s="80" t="s">
        <v>92</v>
      </c>
      <c r="D43" s="80" t="s">
        <v>98</v>
      </c>
      <c r="E43" s="80" t="s">
        <v>99</v>
      </c>
      <c r="F43" s="80" t="s">
        <v>93</v>
      </c>
      <c r="G43"/>
    </row>
    <row r="44" spans="2:35">
      <c r="C44">
        <f>INDEX('[1]Simple Data'!$F:$F,COUNTA('[1]Simple Data'!$F:$F),1)</f>
        <v>238.1</v>
      </c>
      <c r="D44">
        <f>INDEX('[1]Simple Data'!$C:$C,COUNTA('[1]Simple Data'!$C:$C),1)</f>
        <v>329.2</v>
      </c>
      <c r="E44">
        <f>INDEX('[1]Simple Data'!$E:$E,COUNTA('[1]Simple Data'!$E:$E),1)</f>
        <v>292.89999999999998</v>
      </c>
      <c r="F44">
        <f>INDEX('[1]Simple Data'!$D:$D,COUNTA('[1]Simple Data'!$D:$D),1)</f>
        <v>227.1</v>
      </c>
      <c r="G44"/>
    </row>
    <row r="45" spans="2:35">
      <c r="F45"/>
      <c r="G45"/>
    </row>
    <row r="46" spans="2:35">
      <c r="C46">
        <v>0</v>
      </c>
      <c r="D46">
        <f>-2*D42</f>
        <v>-1000</v>
      </c>
      <c r="E46">
        <f>-2*E42</f>
        <v>-1000</v>
      </c>
      <c r="F46">
        <f>D44*D44-C44*C44-D42*D42-E42*E42</f>
        <v>-448318.97</v>
      </c>
      <c r="G46"/>
    </row>
    <row r="47" spans="2:35">
      <c r="C47">
        <f>-2*C42</f>
        <v>-1000</v>
      </c>
      <c r="D47">
        <v>0</v>
      </c>
      <c r="E47">
        <f>-2*E42</f>
        <v>-1000</v>
      </c>
      <c r="F47">
        <f>E44*E44-C44*C44-C42*C42-E42*E42</f>
        <v>-470901.2</v>
      </c>
      <c r="G47"/>
    </row>
    <row r="48" spans="2:35">
      <c r="C48">
        <f>-2*C42</f>
        <v>-1000</v>
      </c>
      <c r="D48">
        <f>-2*D42</f>
        <v>-1000</v>
      </c>
      <c r="E48">
        <f>-2*E42</f>
        <v>-1000</v>
      </c>
      <c r="F48">
        <f>F44*F44-C44*C44-C42*C42-D42*D42-E42*E42</f>
        <v>-755117.2</v>
      </c>
      <c r="G48"/>
    </row>
    <row r="49" spans="3:7">
      <c r="F49"/>
      <c r="G49"/>
    </row>
    <row r="50" spans="3:7">
      <c r="F50"/>
      <c r="G50"/>
    </row>
    <row r="51" spans="3:7">
      <c r="C51">
        <f t="array" ref="C51:C53">MMULT(MINVERSE(C46:E48),F46:F48)</f>
        <v>306.79823000000005</v>
      </c>
      <c r="F51"/>
      <c r="G51"/>
    </row>
    <row r="52" spans="3:7">
      <c r="C52">
        <v>284.21600000000001</v>
      </c>
      <c r="F52"/>
      <c r="G52"/>
    </row>
    <row r="53" spans="3:7">
      <c r="C53">
        <v>164.10297000000003</v>
      </c>
      <c r="F53"/>
      <c r="G53"/>
    </row>
    <row r="54" spans="3:7">
      <c r="F54"/>
      <c r="G54"/>
    </row>
    <row r="55" spans="3:7">
      <c r="F55"/>
      <c r="G55"/>
    </row>
    <row r="56" spans="3:7">
      <c r="F56"/>
      <c r="G56"/>
    </row>
    <row r="57" spans="3:7">
      <c r="F57"/>
      <c r="G57"/>
    </row>
    <row r="58" spans="3:7">
      <c r="F58"/>
      <c r="G58"/>
    </row>
    <row r="59" spans="3:7">
      <c r="F59"/>
      <c r="G59"/>
    </row>
    <row r="60" spans="3:7">
      <c r="F60"/>
      <c r="G60"/>
    </row>
    <row r="61" spans="3:7">
      <c r="F61"/>
      <c r="G61"/>
    </row>
    <row r="62" spans="3:7">
      <c r="F62"/>
      <c r="G62"/>
    </row>
    <row r="63" spans="3:7">
      <c r="F63"/>
      <c r="G63"/>
    </row>
    <row r="64" spans="3:7">
      <c r="F64"/>
      <c r="G64"/>
    </row>
    <row r="65" spans="6:7">
      <c r="F65"/>
      <c r="G65"/>
    </row>
    <row r="66" spans="6:7">
      <c r="F66"/>
      <c r="G66"/>
    </row>
    <row r="67" spans="6:7">
      <c r="F67"/>
      <c r="G67"/>
    </row>
    <row r="68" spans="6:7">
      <c r="F68"/>
      <c r="G68"/>
    </row>
    <row r="69" spans="6:7">
      <c r="F69"/>
      <c r="G69"/>
    </row>
    <row r="70" spans="6:7">
      <c r="F70"/>
      <c r="G70"/>
    </row>
    <row r="71" spans="6:7">
      <c r="F71"/>
      <c r="G71"/>
    </row>
    <row r="72" spans="6:7">
      <c r="F72"/>
      <c r="G72"/>
    </row>
    <row r="73" spans="6:7">
      <c r="F73"/>
      <c r="G73"/>
    </row>
    <row r="74" spans="6:7">
      <c r="F74"/>
      <c r="G74"/>
    </row>
    <row r="75" spans="6:7">
      <c r="F75"/>
      <c r="G75"/>
    </row>
    <row r="76" spans="6:7">
      <c r="F76"/>
      <c r="G76"/>
    </row>
    <row r="77" spans="6:7">
      <c r="F77"/>
      <c r="G77"/>
    </row>
    <row r="78" spans="6:7">
      <c r="F78"/>
      <c r="G78"/>
    </row>
    <row r="79" spans="6:7">
      <c r="F79"/>
      <c r="G79"/>
    </row>
    <row r="80" spans="6:7">
      <c r="F80"/>
      <c r="G80"/>
    </row>
    <row r="81" spans="6:7">
      <c r="F81"/>
      <c r="G81"/>
    </row>
    <row r="82" spans="6:7">
      <c r="F82"/>
      <c r="G82"/>
    </row>
    <row r="83" spans="6:7">
      <c r="F83"/>
      <c r="G83"/>
    </row>
    <row r="84" spans="6:7">
      <c r="F84"/>
      <c r="G84"/>
    </row>
    <row r="85" spans="6:7">
      <c r="F85"/>
      <c r="G85"/>
    </row>
    <row r="86" spans="6:7">
      <c r="F86"/>
      <c r="G86"/>
    </row>
    <row r="87" spans="6:7">
      <c r="F87"/>
      <c r="G87"/>
    </row>
    <row r="88" spans="6:7">
      <c r="F88"/>
      <c r="G88"/>
    </row>
    <row r="89" spans="6:7">
      <c r="F89"/>
      <c r="G89"/>
    </row>
    <row r="90" spans="6:7">
      <c r="F90"/>
      <c r="G90"/>
    </row>
    <row r="91" spans="6:7">
      <c r="F91"/>
      <c r="G91"/>
    </row>
    <row r="92" spans="6:7">
      <c r="F92"/>
      <c r="G92"/>
    </row>
    <row r="93" spans="6:7">
      <c r="F93"/>
      <c r="G93"/>
    </row>
    <row r="94" spans="6:7">
      <c r="F94"/>
      <c r="G94"/>
    </row>
    <row r="95" spans="6:7">
      <c r="F95"/>
      <c r="G95"/>
    </row>
    <row r="96" spans="6:7">
      <c r="F96"/>
      <c r="G96"/>
    </row>
    <row r="97" spans="6:7">
      <c r="F97"/>
      <c r="G97"/>
    </row>
    <row r="98" spans="6:7">
      <c r="F98"/>
      <c r="G98"/>
    </row>
    <row r="99" spans="6:7">
      <c r="F99"/>
      <c r="G99"/>
    </row>
    <row r="100" spans="6:7">
      <c r="F100"/>
      <c r="G100"/>
    </row>
    <row r="101" spans="6:7">
      <c r="F101"/>
      <c r="G101"/>
    </row>
    <row r="102" spans="6:7">
      <c r="F102"/>
      <c r="G102"/>
    </row>
    <row r="103" spans="6:7">
      <c r="F103"/>
      <c r="G103"/>
    </row>
    <row r="104" spans="6:7">
      <c r="F104"/>
      <c r="G104"/>
    </row>
    <row r="105" spans="6:7">
      <c r="F105"/>
      <c r="G105"/>
    </row>
    <row r="106" spans="6:7">
      <c r="F106"/>
      <c r="G106"/>
    </row>
    <row r="107" spans="6:7">
      <c r="F107"/>
      <c r="G107"/>
    </row>
    <row r="108" spans="6:7">
      <c r="F108"/>
      <c r="G108"/>
    </row>
    <row r="109" spans="6:7">
      <c r="F109"/>
      <c r="G109"/>
    </row>
    <row r="110" spans="6:7">
      <c r="F110"/>
      <c r="G110"/>
    </row>
    <row r="111" spans="6:7">
      <c r="F111"/>
      <c r="G111"/>
    </row>
    <row r="112" spans="6:7">
      <c r="F112"/>
      <c r="G112"/>
    </row>
    <row r="113" spans="6:7">
      <c r="F113"/>
      <c r="G113"/>
    </row>
    <row r="114" spans="6:7">
      <c r="F114"/>
      <c r="G114"/>
    </row>
    <row r="115" spans="6:7">
      <c r="F115"/>
      <c r="G115"/>
    </row>
    <row r="116" spans="6:7">
      <c r="F116"/>
      <c r="G116"/>
    </row>
    <row r="117" spans="6:7">
      <c r="F117"/>
      <c r="G117"/>
    </row>
    <row r="118" spans="6:7">
      <c r="F118"/>
      <c r="G118"/>
    </row>
    <row r="119" spans="6:7">
      <c r="F119"/>
      <c r="G119"/>
    </row>
    <row r="120" spans="6:7">
      <c r="F120"/>
      <c r="G120"/>
    </row>
    <row r="121" spans="6:7">
      <c r="F121"/>
      <c r="G121"/>
    </row>
    <row r="122" spans="6:7">
      <c r="F122"/>
      <c r="G122"/>
    </row>
    <row r="123" spans="6:7">
      <c r="F123"/>
      <c r="G123"/>
    </row>
    <row r="124" spans="6:7">
      <c r="F124"/>
      <c r="G124"/>
    </row>
    <row r="125" spans="6:7">
      <c r="F125"/>
      <c r="G125"/>
    </row>
    <row r="126" spans="6:7">
      <c r="F126"/>
      <c r="G126"/>
    </row>
    <row r="127" spans="6:7">
      <c r="F127"/>
      <c r="G127"/>
    </row>
    <row r="128" spans="6:7">
      <c r="F128"/>
      <c r="G128"/>
    </row>
    <row r="129" spans="6:7">
      <c r="F129"/>
      <c r="G129"/>
    </row>
    <row r="130" spans="6:7">
      <c r="F130"/>
      <c r="G130"/>
    </row>
    <row r="131" spans="6:7">
      <c r="F131"/>
      <c r="G131"/>
    </row>
    <row r="132" spans="6:7">
      <c r="F132"/>
      <c r="G132"/>
    </row>
    <row r="133" spans="6:7">
      <c r="F133"/>
      <c r="G133"/>
    </row>
    <row r="134" spans="6:7">
      <c r="F134"/>
      <c r="G134"/>
    </row>
    <row r="135" spans="6:7">
      <c r="F135"/>
      <c r="G135"/>
    </row>
    <row r="136" spans="6:7">
      <c r="F136"/>
      <c r="G136"/>
    </row>
    <row r="137" spans="6:7">
      <c r="F137"/>
      <c r="G137"/>
    </row>
    <row r="138" spans="6:7">
      <c r="F138"/>
      <c r="G138"/>
    </row>
    <row r="139" spans="6:7">
      <c r="F139"/>
      <c r="G139"/>
    </row>
    <row r="140" spans="6:7">
      <c r="F140"/>
      <c r="G140"/>
    </row>
    <row r="141" spans="6:7">
      <c r="F141"/>
      <c r="G141"/>
    </row>
    <row r="142" spans="6:7">
      <c r="F142"/>
      <c r="G142"/>
    </row>
    <row r="143" spans="6:7">
      <c r="F143"/>
      <c r="G143"/>
    </row>
    <row r="144" spans="6:7">
      <c r="F144"/>
      <c r="G144"/>
    </row>
    <row r="145" spans="6:7">
      <c r="F145"/>
      <c r="G145"/>
    </row>
    <row r="146" spans="6:7">
      <c r="F146"/>
      <c r="G146"/>
    </row>
    <row r="147" spans="6:7">
      <c r="F147"/>
      <c r="G147"/>
    </row>
    <row r="148" spans="6:7">
      <c r="F148"/>
      <c r="G148"/>
    </row>
    <row r="149" spans="6:7">
      <c r="F149"/>
      <c r="G149"/>
    </row>
    <row r="150" spans="6:7">
      <c r="F150"/>
      <c r="G150"/>
    </row>
    <row r="151" spans="6:7">
      <c r="F151"/>
      <c r="G151"/>
    </row>
    <row r="152" spans="6:7">
      <c r="F152"/>
      <c r="G152"/>
    </row>
    <row r="153" spans="6:7">
      <c r="F153"/>
      <c r="G153"/>
    </row>
    <row r="154" spans="6:7">
      <c r="F154"/>
      <c r="G154"/>
    </row>
    <row r="155" spans="6:7">
      <c r="F155"/>
      <c r="G155"/>
    </row>
    <row r="156" spans="6:7">
      <c r="F156"/>
      <c r="G156"/>
    </row>
    <row r="157" spans="6:7">
      <c r="F157"/>
      <c r="G157"/>
    </row>
    <row r="158" spans="6:7">
      <c r="F158"/>
      <c r="G158"/>
    </row>
    <row r="159" spans="6:7">
      <c r="F159"/>
      <c r="G159"/>
    </row>
    <row r="160" spans="6:7">
      <c r="F160"/>
      <c r="G160"/>
    </row>
    <row r="161" spans="6:7">
      <c r="F161"/>
      <c r="G161"/>
    </row>
    <row r="162" spans="6:7">
      <c r="F162"/>
      <c r="G162"/>
    </row>
    <row r="163" spans="6:7">
      <c r="F163"/>
      <c r="G163"/>
    </row>
    <row r="164" spans="6:7">
      <c r="F164"/>
      <c r="G164"/>
    </row>
    <row r="165" spans="6:7">
      <c r="F165"/>
      <c r="G165"/>
    </row>
    <row r="166" spans="6:7">
      <c r="F166"/>
      <c r="G166"/>
    </row>
    <row r="167" spans="6:7">
      <c r="F167"/>
      <c r="G167"/>
    </row>
    <row r="168" spans="6:7">
      <c r="F168"/>
      <c r="G168"/>
    </row>
    <row r="169" spans="6:7">
      <c r="F169"/>
      <c r="G169"/>
    </row>
    <row r="170" spans="6:7">
      <c r="F170"/>
      <c r="G170"/>
    </row>
    <row r="171" spans="6:7">
      <c r="F171"/>
      <c r="G171"/>
    </row>
    <row r="172" spans="6:7">
      <c r="F172"/>
      <c r="G172"/>
    </row>
    <row r="173" spans="6:7">
      <c r="F173"/>
      <c r="G173"/>
    </row>
    <row r="174" spans="6:7">
      <c r="F174"/>
      <c r="G174"/>
    </row>
    <row r="175" spans="6:7">
      <c r="F175"/>
      <c r="G175"/>
    </row>
    <row r="176" spans="6:7">
      <c r="F176"/>
      <c r="G176"/>
    </row>
    <row r="177" spans="6:7">
      <c r="F177"/>
      <c r="G177"/>
    </row>
    <row r="178" spans="6:7">
      <c r="F178"/>
      <c r="G178"/>
    </row>
    <row r="179" spans="6:7">
      <c r="F179"/>
      <c r="G179"/>
    </row>
    <row r="180" spans="6:7">
      <c r="F180"/>
      <c r="G180"/>
    </row>
    <row r="181" spans="6:7">
      <c r="F181"/>
      <c r="G181"/>
    </row>
    <row r="182" spans="6:7">
      <c r="F182"/>
      <c r="G182"/>
    </row>
    <row r="183" spans="6:7">
      <c r="F183"/>
      <c r="G183"/>
    </row>
    <row r="184" spans="6:7">
      <c r="F184"/>
      <c r="G184"/>
    </row>
    <row r="185" spans="6:7">
      <c r="F185"/>
      <c r="G185"/>
    </row>
    <row r="186" spans="6:7">
      <c r="F186"/>
      <c r="G186"/>
    </row>
    <row r="187" spans="6:7">
      <c r="F187"/>
      <c r="G187"/>
    </row>
    <row r="188" spans="6:7">
      <c r="F188"/>
      <c r="G188"/>
    </row>
    <row r="189" spans="6:7">
      <c r="F189"/>
      <c r="G189"/>
    </row>
    <row r="190" spans="6:7">
      <c r="F190"/>
      <c r="G190"/>
    </row>
    <row r="191" spans="6:7">
      <c r="F191"/>
      <c r="G191"/>
    </row>
    <row r="192" spans="6:7">
      <c r="F192"/>
      <c r="G192"/>
    </row>
    <row r="193" spans="6:7">
      <c r="F193"/>
      <c r="G193"/>
    </row>
    <row r="194" spans="6:7">
      <c r="F194"/>
      <c r="G194"/>
    </row>
    <row r="195" spans="6:7">
      <c r="F195"/>
      <c r="G195"/>
    </row>
    <row r="196" spans="6:7">
      <c r="F196"/>
      <c r="G196"/>
    </row>
    <row r="197" spans="6:7">
      <c r="F197"/>
      <c r="G197"/>
    </row>
    <row r="198" spans="6:7">
      <c r="F198"/>
      <c r="G198"/>
    </row>
    <row r="199" spans="6:7">
      <c r="F199"/>
      <c r="G199"/>
    </row>
    <row r="200" spans="6:7">
      <c r="F200"/>
      <c r="G200"/>
    </row>
    <row r="201" spans="6:7">
      <c r="F201"/>
      <c r="G201"/>
    </row>
    <row r="202" spans="6:7">
      <c r="F202"/>
      <c r="G202"/>
    </row>
    <row r="203" spans="6:7">
      <c r="F203"/>
      <c r="G203"/>
    </row>
    <row r="204" spans="6:7">
      <c r="F204"/>
      <c r="G204"/>
    </row>
    <row r="205" spans="6:7">
      <c r="F205"/>
      <c r="G205"/>
    </row>
    <row r="206" spans="6:7">
      <c r="F206"/>
      <c r="G206"/>
    </row>
    <row r="207" spans="6:7">
      <c r="F207"/>
      <c r="G207"/>
    </row>
    <row r="208" spans="6:7">
      <c r="F208"/>
      <c r="G208"/>
    </row>
    <row r="209" spans="6:7">
      <c r="F209"/>
      <c r="G209"/>
    </row>
    <row r="210" spans="6:7">
      <c r="F210"/>
      <c r="G210"/>
    </row>
    <row r="211" spans="6:7">
      <c r="F211"/>
      <c r="G211"/>
    </row>
    <row r="212" spans="6:7">
      <c r="F212"/>
      <c r="G212"/>
    </row>
    <row r="213" spans="6:7">
      <c r="F213"/>
      <c r="G213"/>
    </row>
    <row r="214" spans="6:7">
      <c r="F214"/>
      <c r="G214"/>
    </row>
    <row r="215" spans="6:7">
      <c r="F215"/>
      <c r="G215"/>
    </row>
    <row r="216" spans="6:7">
      <c r="F216"/>
      <c r="G216"/>
    </row>
    <row r="217" spans="6:7">
      <c r="F217"/>
      <c r="G217"/>
    </row>
    <row r="218" spans="6:7">
      <c r="F218"/>
      <c r="G218"/>
    </row>
    <row r="219" spans="6:7">
      <c r="F219"/>
      <c r="G219"/>
    </row>
    <row r="220" spans="6:7">
      <c r="F220"/>
      <c r="G220"/>
    </row>
    <row r="221" spans="6:7">
      <c r="F221"/>
      <c r="G221"/>
    </row>
    <row r="222" spans="6:7">
      <c r="F222"/>
      <c r="G222"/>
    </row>
    <row r="223" spans="6:7">
      <c r="F223"/>
      <c r="G223"/>
    </row>
    <row r="224" spans="6:7">
      <c r="F224"/>
      <c r="G224"/>
    </row>
    <row r="225" spans="6:7">
      <c r="F225"/>
      <c r="G225"/>
    </row>
    <row r="226" spans="6:7">
      <c r="F226"/>
      <c r="G226"/>
    </row>
    <row r="227" spans="6:7">
      <c r="F227"/>
      <c r="G227"/>
    </row>
    <row r="228" spans="6:7">
      <c r="F228"/>
      <c r="G228"/>
    </row>
    <row r="229" spans="6:7">
      <c r="F229"/>
      <c r="G229"/>
    </row>
    <row r="230" spans="6:7">
      <c r="F230"/>
      <c r="G230"/>
    </row>
    <row r="231" spans="6:7">
      <c r="F231"/>
      <c r="G231"/>
    </row>
    <row r="232" spans="6:7">
      <c r="F232"/>
      <c r="G232"/>
    </row>
    <row r="233" spans="6:7">
      <c r="F233"/>
      <c r="G233"/>
    </row>
    <row r="234" spans="6:7">
      <c r="F234"/>
      <c r="G234"/>
    </row>
    <row r="235" spans="6:7">
      <c r="F235"/>
      <c r="G235"/>
    </row>
    <row r="236" spans="6:7">
      <c r="F236"/>
      <c r="G236"/>
    </row>
    <row r="237" spans="6:7">
      <c r="F237"/>
      <c r="G237"/>
    </row>
    <row r="238" spans="6:7">
      <c r="F238"/>
      <c r="G238"/>
    </row>
    <row r="239" spans="6:7">
      <c r="F239"/>
      <c r="G239"/>
    </row>
    <row r="240" spans="6:7">
      <c r="F240"/>
      <c r="G240"/>
    </row>
    <row r="241" spans="6:7">
      <c r="F241"/>
      <c r="G241"/>
    </row>
    <row r="242" spans="6:7">
      <c r="F242"/>
      <c r="G242"/>
    </row>
    <row r="243" spans="6:7">
      <c r="F243"/>
      <c r="G243"/>
    </row>
    <row r="244" spans="6:7">
      <c r="F244"/>
      <c r="G244"/>
    </row>
    <row r="245" spans="6:7">
      <c r="F245"/>
      <c r="G245"/>
    </row>
    <row r="246" spans="6:7">
      <c r="F246"/>
      <c r="G246"/>
    </row>
    <row r="247" spans="6:7">
      <c r="F247"/>
      <c r="G247"/>
    </row>
    <row r="248" spans="6:7">
      <c r="F248"/>
      <c r="G248"/>
    </row>
    <row r="249" spans="6:7">
      <c r="F249"/>
      <c r="G249"/>
    </row>
    <row r="250" spans="6:7">
      <c r="F250"/>
      <c r="G250"/>
    </row>
    <row r="251" spans="6:7">
      <c r="F251"/>
      <c r="G251"/>
    </row>
    <row r="252" spans="6:7">
      <c r="F252"/>
      <c r="G252"/>
    </row>
    <row r="253" spans="6:7">
      <c r="F253"/>
      <c r="G253"/>
    </row>
    <row r="254" spans="6:7">
      <c r="F254"/>
      <c r="G254"/>
    </row>
    <row r="255" spans="6:7">
      <c r="F255"/>
      <c r="G255"/>
    </row>
    <row r="256" spans="6:7">
      <c r="F256"/>
      <c r="G256"/>
    </row>
    <row r="257" spans="6:7">
      <c r="F257"/>
      <c r="G257"/>
    </row>
    <row r="258" spans="6:7">
      <c r="F258"/>
      <c r="G258"/>
    </row>
    <row r="259" spans="6:7">
      <c r="F259"/>
      <c r="G259"/>
    </row>
    <row r="260" spans="6:7">
      <c r="F260"/>
      <c r="G260"/>
    </row>
    <row r="261" spans="6:7">
      <c r="F261"/>
      <c r="G261"/>
    </row>
    <row r="262" spans="6:7">
      <c r="F262"/>
      <c r="G262"/>
    </row>
    <row r="263" spans="6:7">
      <c r="F263"/>
      <c r="G263"/>
    </row>
    <row r="264" spans="6:7">
      <c r="F264"/>
      <c r="G264"/>
    </row>
    <row r="265" spans="6:7">
      <c r="F265"/>
      <c r="G265"/>
    </row>
    <row r="266" spans="6:7">
      <c r="F266"/>
      <c r="G266"/>
    </row>
    <row r="267" spans="6:7">
      <c r="F267"/>
      <c r="G267"/>
    </row>
    <row r="268" spans="6:7">
      <c r="F268"/>
      <c r="G268"/>
    </row>
    <row r="269" spans="6:7">
      <c r="F269"/>
      <c r="G269"/>
    </row>
    <row r="270" spans="6:7">
      <c r="F270"/>
      <c r="G270"/>
    </row>
    <row r="271" spans="6:7">
      <c r="F271"/>
      <c r="G271"/>
    </row>
    <row r="272" spans="6:7">
      <c r="F272"/>
      <c r="G272"/>
    </row>
    <row r="273" spans="6:7">
      <c r="F273"/>
      <c r="G273"/>
    </row>
    <row r="274" spans="6:7">
      <c r="F274"/>
      <c r="G274"/>
    </row>
    <row r="275" spans="6:7">
      <c r="F275"/>
      <c r="G275"/>
    </row>
    <row r="276" spans="6:7">
      <c r="F276"/>
      <c r="G276"/>
    </row>
    <row r="277" spans="6:7">
      <c r="F277"/>
      <c r="G277"/>
    </row>
    <row r="278" spans="6:7">
      <c r="F278"/>
      <c r="G278"/>
    </row>
    <row r="279" spans="6:7">
      <c r="F279"/>
      <c r="G279"/>
    </row>
    <row r="280" spans="6:7">
      <c r="F280"/>
      <c r="G280"/>
    </row>
    <row r="281" spans="6:7">
      <c r="F281"/>
      <c r="G281"/>
    </row>
    <row r="282" spans="6:7">
      <c r="F282"/>
      <c r="G282"/>
    </row>
    <row r="283" spans="6:7">
      <c r="F283"/>
      <c r="G283"/>
    </row>
    <row r="284" spans="6:7">
      <c r="F284"/>
      <c r="G284"/>
    </row>
    <row r="285" spans="6:7">
      <c r="F285"/>
      <c r="G285"/>
    </row>
    <row r="286" spans="6:7">
      <c r="F286"/>
      <c r="G286"/>
    </row>
    <row r="287" spans="6:7">
      <c r="F287"/>
      <c r="G287"/>
    </row>
    <row r="288" spans="6:7">
      <c r="F288"/>
      <c r="G288"/>
    </row>
    <row r="289" spans="6:7">
      <c r="F289"/>
      <c r="G289"/>
    </row>
    <row r="290" spans="6:7">
      <c r="F290"/>
      <c r="G290"/>
    </row>
    <row r="291" spans="6:7">
      <c r="F291"/>
      <c r="G291"/>
    </row>
    <row r="292" spans="6:7">
      <c r="F292"/>
      <c r="G292"/>
    </row>
    <row r="293" spans="6:7">
      <c r="F293"/>
      <c r="G293"/>
    </row>
    <row r="294" spans="6:7">
      <c r="F294"/>
      <c r="G294"/>
    </row>
    <row r="295" spans="6:7">
      <c r="F295"/>
      <c r="G295"/>
    </row>
    <row r="296" spans="6:7">
      <c r="F296"/>
      <c r="G296"/>
    </row>
    <row r="297" spans="6:7">
      <c r="F297"/>
      <c r="G297"/>
    </row>
    <row r="298" spans="6:7">
      <c r="F298"/>
      <c r="G298"/>
    </row>
    <row r="299" spans="6:7">
      <c r="F299"/>
      <c r="G299"/>
    </row>
    <row r="300" spans="6:7">
      <c r="F300"/>
      <c r="G300"/>
    </row>
    <row r="301" spans="6:7">
      <c r="F301"/>
      <c r="G301"/>
    </row>
    <row r="302" spans="6:7">
      <c r="F302"/>
      <c r="G302"/>
    </row>
    <row r="303" spans="6:7">
      <c r="F303"/>
      <c r="G303"/>
    </row>
    <row r="304" spans="6:7">
      <c r="F304"/>
      <c r="G304"/>
    </row>
    <row r="305" spans="6:7">
      <c r="F305"/>
      <c r="G305"/>
    </row>
    <row r="307" spans="6:7">
      <c r="F307"/>
      <c r="G307"/>
    </row>
    <row r="308" spans="6:7">
      <c r="F308"/>
      <c r="G308"/>
    </row>
    <row r="309" spans="6:7">
      <c r="F309"/>
      <c r="G309"/>
    </row>
    <row r="310" spans="6:7">
      <c r="F310"/>
      <c r="G310"/>
    </row>
    <row r="311" spans="6:7">
      <c r="F311"/>
      <c r="G311"/>
    </row>
    <row r="312" spans="6:7">
      <c r="F312"/>
      <c r="G312"/>
    </row>
    <row r="313" spans="6:7">
      <c r="F313"/>
      <c r="G313"/>
    </row>
    <row r="314" spans="6:7">
      <c r="F314"/>
      <c r="G314"/>
    </row>
    <row r="315" spans="6:7">
      <c r="F315"/>
      <c r="G315"/>
    </row>
    <row r="316" spans="6:7">
      <c r="F316"/>
      <c r="G316"/>
    </row>
    <row r="317" spans="6:7">
      <c r="F317"/>
      <c r="G317"/>
    </row>
    <row r="318" spans="6:7">
      <c r="F318"/>
      <c r="G318"/>
    </row>
    <row r="319" spans="6:7">
      <c r="F319"/>
      <c r="G319"/>
    </row>
    <row r="320" spans="6:7">
      <c r="F320"/>
      <c r="G320"/>
    </row>
    <row r="321" spans="6:7">
      <c r="F321"/>
      <c r="G321"/>
    </row>
    <row r="322" spans="6:7">
      <c r="F322"/>
      <c r="G322"/>
    </row>
    <row r="323" spans="6:7">
      <c r="F323"/>
      <c r="G323"/>
    </row>
    <row r="324" spans="6:7">
      <c r="F324"/>
      <c r="G324"/>
    </row>
    <row r="325" spans="6:7">
      <c r="F325"/>
      <c r="G325"/>
    </row>
    <row r="326" spans="6:7">
      <c r="F326"/>
      <c r="G326"/>
    </row>
    <row r="327" spans="6:7">
      <c r="F327"/>
      <c r="G327"/>
    </row>
    <row r="328" spans="6:7">
      <c r="F328"/>
      <c r="G328"/>
    </row>
    <row r="329" spans="6:7">
      <c r="F329"/>
      <c r="G329"/>
    </row>
    <row r="330" spans="6:7">
      <c r="F330"/>
      <c r="G330"/>
    </row>
    <row r="331" spans="6:7">
      <c r="F331"/>
      <c r="G331"/>
    </row>
    <row r="332" spans="6:7">
      <c r="F332"/>
      <c r="G332"/>
    </row>
    <row r="333" spans="6:7">
      <c r="F333"/>
      <c r="G333"/>
    </row>
    <row r="334" spans="6:7">
      <c r="F334"/>
      <c r="G334"/>
    </row>
    <row r="335" spans="6:7">
      <c r="F335"/>
      <c r="G335"/>
    </row>
    <row r="336" spans="6:7">
      <c r="F336"/>
      <c r="G336"/>
    </row>
    <row r="337" spans="6:7">
      <c r="F337"/>
      <c r="G337"/>
    </row>
    <row r="338" spans="6:7">
      <c r="F338"/>
      <c r="G338"/>
    </row>
    <row r="339" spans="6:7">
      <c r="F339"/>
      <c r="G339"/>
    </row>
    <row r="340" spans="6:7">
      <c r="F340"/>
      <c r="G340"/>
    </row>
    <row r="341" spans="6:7">
      <c r="F341"/>
      <c r="G341"/>
    </row>
    <row r="342" spans="6:7">
      <c r="F342"/>
      <c r="G342"/>
    </row>
    <row r="343" spans="6:7">
      <c r="F343"/>
      <c r="G343"/>
    </row>
    <row r="344" spans="6:7">
      <c r="F344"/>
      <c r="G344"/>
    </row>
    <row r="345" spans="6:7">
      <c r="F345"/>
      <c r="G345"/>
    </row>
    <row r="346" spans="6:7">
      <c r="F346"/>
      <c r="G346"/>
    </row>
    <row r="347" spans="6:7">
      <c r="F347"/>
      <c r="G347"/>
    </row>
    <row r="348" spans="6:7">
      <c r="F348"/>
      <c r="G348"/>
    </row>
    <row r="349" spans="6:7">
      <c r="F349"/>
      <c r="G349"/>
    </row>
    <row r="350" spans="6:7">
      <c r="F350"/>
      <c r="G350"/>
    </row>
    <row r="351" spans="6:7">
      <c r="F351"/>
      <c r="G351"/>
    </row>
    <row r="352" spans="6:7">
      <c r="F352"/>
      <c r="G352"/>
    </row>
    <row r="353" spans="6:7">
      <c r="F353"/>
      <c r="G353"/>
    </row>
    <row r="354" spans="6:7">
      <c r="F354"/>
      <c r="G354"/>
    </row>
    <row r="355" spans="6:7">
      <c r="F355"/>
      <c r="G355"/>
    </row>
    <row r="356" spans="6:7">
      <c r="F356"/>
      <c r="G356"/>
    </row>
    <row r="357" spans="6:7">
      <c r="F357"/>
      <c r="G357"/>
    </row>
    <row r="358" spans="6:7">
      <c r="F358"/>
      <c r="G358"/>
    </row>
    <row r="359" spans="6:7">
      <c r="F359"/>
      <c r="G359"/>
    </row>
    <row r="360" spans="6:7">
      <c r="F360"/>
      <c r="G360"/>
    </row>
    <row r="361" spans="6:7">
      <c r="F361"/>
      <c r="G361"/>
    </row>
    <row r="362" spans="6:7">
      <c r="F362"/>
      <c r="G362"/>
    </row>
    <row r="363" spans="6:7">
      <c r="F363"/>
      <c r="G363"/>
    </row>
    <row r="364" spans="6:7">
      <c r="F364"/>
      <c r="G364"/>
    </row>
    <row r="365" spans="6:7">
      <c r="F365"/>
      <c r="G365"/>
    </row>
    <row r="366" spans="6:7">
      <c r="F366"/>
      <c r="G366"/>
    </row>
    <row r="367" spans="6:7">
      <c r="F367"/>
      <c r="G367"/>
    </row>
    <row r="368" spans="6:7">
      <c r="F368"/>
      <c r="G368"/>
    </row>
    <row r="369" spans="6:7">
      <c r="F369"/>
      <c r="G369"/>
    </row>
    <row r="370" spans="6:7">
      <c r="F370"/>
      <c r="G370"/>
    </row>
    <row r="371" spans="6:7">
      <c r="F371"/>
      <c r="G371"/>
    </row>
    <row r="372" spans="6:7">
      <c r="F372"/>
      <c r="G372"/>
    </row>
    <row r="373" spans="6:7">
      <c r="F373"/>
      <c r="G373"/>
    </row>
    <row r="374" spans="6:7">
      <c r="F374"/>
      <c r="G374"/>
    </row>
    <row r="375" spans="6:7">
      <c r="F375"/>
      <c r="G375"/>
    </row>
    <row r="376" spans="6:7">
      <c r="F376"/>
      <c r="G376"/>
    </row>
    <row r="377" spans="6:7">
      <c r="F377"/>
      <c r="G377"/>
    </row>
    <row r="378" spans="6:7">
      <c r="F378"/>
      <c r="G378"/>
    </row>
    <row r="379" spans="6:7">
      <c r="F379"/>
      <c r="G379"/>
    </row>
    <row r="380" spans="6:7">
      <c r="F380"/>
      <c r="G380"/>
    </row>
    <row r="381" spans="6:7">
      <c r="F381"/>
      <c r="G381"/>
    </row>
    <row r="382" spans="6:7">
      <c r="F382"/>
      <c r="G382"/>
    </row>
    <row r="383" spans="6:7">
      <c r="F383"/>
      <c r="G383"/>
    </row>
    <row r="384" spans="6:7">
      <c r="F384"/>
      <c r="G384"/>
    </row>
    <row r="385" spans="6:7">
      <c r="F385"/>
      <c r="G385"/>
    </row>
    <row r="386" spans="6:7">
      <c r="F386"/>
      <c r="G386"/>
    </row>
    <row r="387" spans="6:7">
      <c r="F387"/>
      <c r="G387"/>
    </row>
    <row r="388" spans="6:7">
      <c r="F388"/>
      <c r="G388"/>
    </row>
    <row r="389" spans="6:7">
      <c r="F389"/>
      <c r="G389"/>
    </row>
    <row r="390" spans="6:7">
      <c r="F390"/>
      <c r="G390"/>
    </row>
    <row r="391" spans="6:7">
      <c r="F391"/>
      <c r="G391"/>
    </row>
    <row r="392" spans="6:7">
      <c r="F392"/>
      <c r="G392"/>
    </row>
    <row r="393" spans="6:7">
      <c r="F393"/>
      <c r="G393"/>
    </row>
    <row r="394" spans="6:7">
      <c r="F394"/>
      <c r="G394"/>
    </row>
    <row r="395" spans="6:7">
      <c r="F395"/>
      <c r="G395"/>
    </row>
    <row r="396" spans="6:7">
      <c r="F396"/>
      <c r="G396"/>
    </row>
    <row r="397" spans="6:7">
      <c r="F397"/>
      <c r="G397"/>
    </row>
    <row r="398" spans="6:7">
      <c r="F398"/>
      <c r="G398"/>
    </row>
    <row r="399" spans="6:7">
      <c r="F399"/>
      <c r="G399"/>
    </row>
    <row r="400" spans="6:7">
      <c r="F400"/>
      <c r="G400"/>
    </row>
    <row r="401" spans="6:7">
      <c r="F401"/>
      <c r="G401"/>
    </row>
    <row r="402" spans="6:7">
      <c r="F402"/>
      <c r="G402"/>
    </row>
    <row r="403" spans="6:7">
      <c r="F403"/>
      <c r="G403"/>
    </row>
    <row r="404" spans="6:7">
      <c r="F404"/>
      <c r="G404"/>
    </row>
    <row r="405" spans="6:7">
      <c r="F405"/>
      <c r="G405"/>
    </row>
    <row r="406" spans="6:7">
      <c r="F406"/>
      <c r="G406"/>
    </row>
    <row r="407" spans="6:7">
      <c r="F407"/>
      <c r="G407"/>
    </row>
    <row r="408" spans="6:7">
      <c r="F408"/>
      <c r="G408"/>
    </row>
    <row r="409" spans="6:7">
      <c r="F409"/>
      <c r="G409"/>
    </row>
    <row r="410" spans="6:7">
      <c r="F410"/>
      <c r="G410"/>
    </row>
    <row r="411" spans="6:7">
      <c r="F411"/>
      <c r="G411"/>
    </row>
    <row r="412" spans="6:7">
      <c r="F412"/>
      <c r="G412"/>
    </row>
    <row r="413" spans="6:7">
      <c r="F413"/>
      <c r="G413"/>
    </row>
    <row r="414" spans="6:7">
      <c r="F414"/>
      <c r="G414"/>
    </row>
    <row r="415" spans="6:7">
      <c r="F415"/>
      <c r="G415"/>
    </row>
    <row r="416" spans="6:7">
      <c r="F416"/>
      <c r="G416"/>
    </row>
    <row r="417" spans="6:7">
      <c r="F417"/>
      <c r="G417"/>
    </row>
    <row r="418" spans="6:7">
      <c r="F418"/>
      <c r="G418"/>
    </row>
    <row r="419" spans="6:7">
      <c r="F419"/>
      <c r="G419"/>
    </row>
    <row r="420" spans="6:7">
      <c r="F420"/>
      <c r="G420"/>
    </row>
    <row r="421" spans="6:7">
      <c r="F421"/>
      <c r="G421"/>
    </row>
    <row r="422" spans="6:7">
      <c r="F422"/>
      <c r="G422"/>
    </row>
    <row r="423" spans="6:7">
      <c r="F423"/>
      <c r="G423"/>
    </row>
    <row r="424" spans="6:7">
      <c r="F424"/>
      <c r="G424"/>
    </row>
    <row r="425" spans="6:7">
      <c r="F425"/>
      <c r="G425"/>
    </row>
    <row r="426" spans="6:7">
      <c r="F426"/>
      <c r="G426"/>
    </row>
    <row r="427" spans="6:7">
      <c r="F427"/>
      <c r="G427"/>
    </row>
    <row r="428" spans="6:7">
      <c r="F428"/>
      <c r="G428"/>
    </row>
    <row r="429" spans="6:7">
      <c r="F429"/>
      <c r="G429"/>
    </row>
    <row r="430" spans="6:7">
      <c r="F430"/>
      <c r="G430"/>
    </row>
    <row r="431" spans="6:7">
      <c r="F431"/>
      <c r="G431"/>
    </row>
    <row r="432" spans="6:7">
      <c r="F432"/>
      <c r="G432"/>
    </row>
    <row r="433" spans="6:7">
      <c r="F433"/>
      <c r="G433"/>
    </row>
    <row r="434" spans="6:7">
      <c r="F434"/>
      <c r="G434"/>
    </row>
    <row r="435" spans="6:7">
      <c r="F435"/>
      <c r="G435"/>
    </row>
    <row r="436" spans="6:7">
      <c r="F436"/>
      <c r="G436"/>
    </row>
    <row r="437" spans="6:7">
      <c r="F437"/>
      <c r="G437"/>
    </row>
    <row r="438" spans="6:7">
      <c r="F438"/>
      <c r="G438"/>
    </row>
    <row r="439" spans="6:7">
      <c r="F439"/>
      <c r="G439"/>
    </row>
    <row r="440" spans="6:7">
      <c r="F440"/>
      <c r="G440"/>
    </row>
    <row r="441" spans="6:7">
      <c r="F441"/>
      <c r="G441"/>
    </row>
    <row r="442" spans="6:7">
      <c r="F442"/>
      <c r="G442"/>
    </row>
    <row r="443" spans="6:7">
      <c r="F443"/>
      <c r="G443"/>
    </row>
    <row r="444" spans="6:7">
      <c r="F444"/>
      <c r="G444"/>
    </row>
    <row r="445" spans="6:7">
      <c r="F445"/>
      <c r="G445"/>
    </row>
    <row r="446" spans="6:7">
      <c r="F446"/>
      <c r="G446"/>
    </row>
    <row r="447" spans="6:7">
      <c r="F447"/>
      <c r="G447"/>
    </row>
    <row r="448" spans="6:7">
      <c r="F448"/>
      <c r="G448"/>
    </row>
    <row r="449" spans="6:7">
      <c r="F449"/>
      <c r="G449"/>
    </row>
    <row r="450" spans="6:7">
      <c r="F450"/>
      <c r="G450"/>
    </row>
    <row r="451" spans="6:7">
      <c r="F451"/>
      <c r="G451"/>
    </row>
    <row r="452" spans="6:7">
      <c r="F452"/>
      <c r="G452"/>
    </row>
    <row r="453" spans="6:7">
      <c r="F453"/>
      <c r="G453"/>
    </row>
    <row r="454" spans="6:7">
      <c r="F454"/>
      <c r="G454"/>
    </row>
    <row r="455" spans="6:7">
      <c r="F455"/>
      <c r="G455"/>
    </row>
    <row r="456" spans="6:7">
      <c r="F456"/>
      <c r="G456"/>
    </row>
    <row r="457" spans="6:7">
      <c r="F457"/>
      <c r="G457"/>
    </row>
    <row r="458" spans="6:7">
      <c r="F458"/>
      <c r="G458"/>
    </row>
    <row r="459" spans="6:7">
      <c r="F459"/>
      <c r="G459"/>
    </row>
    <row r="460" spans="6:7">
      <c r="F460"/>
      <c r="G460"/>
    </row>
    <row r="461" spans="6:7">
      <c r="F461"/>
      <c r="G461"/>
    </row>
    <row r="462" spans="6:7">
      <c r="F462"/>
      <c r="G462"/>
    </row>
    <row r="463" spans="6:7">
      <c r="F463"/>
      <c r="G463"/>
    </row>
    <row r="464" spans="6:7">
      <c r="F464"/>
      <c r="G464"/>
    </row>
    <row r="465" spans="6:7">
      <c r="F465"/>
      <c r="G465"/>
    </row>
    <row r="466" spans="6:7">
      <c r="F466"/>
      <c r="G466"/>
    </row>
    <row r="467" spans="6:7">
      <c r="F467"/>
      <c r="G467"/>
    </row>
    <row r="468" spans="6:7">
      <c r="F468"/>
      <c r="G468"/>
    </row>
    <row r="469" spans="6:7">
      <c r="F469"/>
      <c r="G469"/>
    </row>
    <row r="470" spans="6:7">
      <c r="F470"/>
      <c r="G470"/>
    </row>
    <row r="471" spans="6:7">
      <c r="F471"/>
      <c r="G471"/>
    </row>
    <row r="472" spans="6:7">
      <c r="F472"/>
      <c r="G472"/>
    </row>
    <row r="473" spans="6:7">
      <c r="F473"/>
      <c r="G473"/>
    </row>
    <row r="474" spans="6:7">
      <c r="F474"/>
      <c r="G474"/>
    </row>
    <row r="475" spans="6:7">
      <c r="F475"/>
      <c r="G475"/>
    </row>
    <row r="476" spans="6:7">
      <c r="F476"/>
      <c r="G476"/>
    </row>
    <row r="477" spans="6:7">
      <c r="F477"/>
      <c r="G477"/>
    </row>
    <row r="478" spans="6:7">
      <c r="F478"/>
      <c r="G478"/>
    </row>
    <row r="479" spans="6:7">
      <c r="F479"/>
      <c r="G479"/>
    </row>
    <row r="480" spans="6:7">
      <c r="F480"/>
      <c r="G480"/>
    </row>
    <row r="481" spans="6:7">
      <c r="F481"/>
      <c r="G481"/>
    </row>
    <row r="482" spans="6:7">
      <c r="F482"/>
      <c r="G482"/>
    </row>
    <row r="483" spans="6:7">
      <c r="F483"/>
      <c r="G483"/>
    </row>
    <row r="484" spans="6:7">
      <c r="F484"/>
      <c r="G484"/>
    </row>
    <row r="485" spans="6:7">
      <c r="F485"/>
      <c r="G485"/>
    </row>
    <row r="486" spans="6:7">
      <c r="F486"/>
      <c r="G486"/>
    </row>
    <row r="487" spans="6:7">
      <c r="F487"/>
      <c r="G487"/>
    </row>
    <row r="488" spans="6:7">
      <c r="F488"/>
      <c r="G488"/>
    </row>
    <row r="489" spans="6:7">
      <c r="F489"/>
      <c r="G489"/>
    </row>
    <row r="490" spans="6:7">
      <c r="F490"/>
      <c r="G490"/>
    </row>
    <row r="491" spans="6:7">
      <c r="F491"/>
      <c r="G491"/>
    </row>
    <row r="492" spans="6:7">
      <c r="F492"/>
      <c r="G492"/>
    </row>
    <row r="493" spans="6:7">
      <c r="F493"/>
      <c r="G493"/>
    </row>
    <row r="494" spans="6:7">
      <c r="F494"/>
      <c r="G494"/>
    </row>
    <row r="495" spans="6:7">
      <c r="F495"/>
      <c r="G495"/>
    </row>
    <row r="496" spans="6:7">
      <c r="F496"/>
      <c r="G496"/>
    </row>
    <row r="497" spans="6:7">
      <c r="F497"/>
      <c r="G497"/>
    </row>
    <row r="498" spans="6:7">
      <c r="F498"/>
      <c r="G498"/>
    </row>
    <row r="499" spans="6:7">
      <c r="F499"/>
      <c r="G499"/>
    </row>
    <row r="500" spans="6:7">
      <c r="F500"/>
      <c r="G500"/>
    </row>
    <row r="501" spans="6:7">
      <c r="F501"/>
      <c r="G501"/>
    </row>
    <row r="502" spans="6:7">
      <c r="F502"/>
      <c r="G502"/>
    </row>
    <row r="503" spans="6:7">
      <c r="F503"/>
      <c r="G503"/>
    </row>
    <row r="504" spans="6:7">
      <c r="F504"/>
      <c r="G504"/>
    </row>
    <row r="505" spans="6:7">
      <c r="F505"/>
      <c r="G505"/>
    </row>
    <row r="506" spans="6:7">
      <c r="F506"/>
      <c r="G506"/>
    </row>
    <row r="507" spans="6:7">
      <c r="F507"/>
      <c r="G507"/>
    </row>
    <row r="508" spans="6:7">
      <c r="F508"/>
      <c r="G508"/>
    </row>
    <row r="509" spans="6:7">
      <c r="F509"/>
      <c r="G509"/>
    </row>
    <row r="510" spans="6:7">
      <c r="F510"/>
      <c r="G510"/>
    </row>
    <row r="511" spans="6:7">
      <c r="F511"/>
      <c r="G511"/>
    </row>
    <row r="512" spans="6:7">
      <c r="F512"/>
      <c r="G512"/>
    </row>
    <row r="513" spans="6:7">
      <c r="F513"/>
      <c r="G513"/>
    </row>
    <row r="514" spans="6:7">
      <c r="F514"/>
      <c r="G514"/>
    </row>
    <row r="515" spans="6:7">
      <c r="F515"/>
      <c r="G515"/>
    </row>
    <row r="516" spans="6:7">
      <c r="F516"/>
      <c r="G516"/>
    </row>
    <row r="517" spans="6:7">
      <c r="F517"/>
      <c r="G517"/>
    </row>
    <row r="518" spans="6:7">
      <c r="F518"/>
      <c r="G518"/>
    </row>
    <row r="519" spans="6:7">
      <c r="F519"/>
      <c r="G519"/>
    </row>
    <row r="520" spans="6:7">
      <c r="F520"/>
      <c r="G520"/>
    </row>
    <row r="521" spans="6:7">
      <c r="F521"/>
      <c r="G521"/>
    </row>
    <row r="522" spans="6:7">
      <c r="F522"/>
      <c r="G522"/>
    </row>
    <row r="523" spans="6:7">
      <c r="F523"/>
      <c r="G523"/>
    </row>
    <row r="524" spans="6:7">
      <c r="F524"/>
      <c r="G524"/>
    </row>
    <row r="525" spans="6:7">
      <c r="F525"/>
      <c r="G525"/>
    </row>
    <row r="526" spans="6:7">
      <c r="F526"/>
      <c r="G526"/>
    </row>
    <row r="527" spans="6:7">
      <c r="F527"/>
      <c r="G527"/>
    </row>
    <row r="528" spans="6:7">
      <c r="F528"/>
      <c r="G528"/>
    </row>
    <row r="529" spans="6:7">
      <c r="F529"/>
      <c r="G529"/>
    </row>
    <row r="530" spans="6:7">
      <c r="F530"/>
      <c r="G530"/>
    </row>
    <row r="531" spans="6:7">
      <c r="F531"/>
      <c r="G531"/>
    </row>
    <row r="532" spans="6:7">
      <c r="F532"/>
      <c r="G532"/>
    </row>
    <row r="533" spans="6:7">
      <c r="F533"/>
      <c r="G533"/>
    </row>
    <row r="534" spans="6:7">
      <c r="F534"/>
      <c r="G534"/>
    </row>
    <row r="535" spans="6:7">
      <c r="F535"/>
      <c r="G535"/>
    </row>
    <row r="536" spans="6:7">
      <c r="F536"/>
      <c r="G536"/>
    </row>
    <row r="537" spans="6:7">
      <c r="F537"/>
      <c r="G537"/>
    </row>
    <row r="538" spans="6:7">
      <c r="F538"/>
      <c r="G538"/>
    </row>
    <row r="539" spans="6:7">
      <c r="F539"/>
      <c r="G539"/>
    </row>
    <row r="540" spans="6:7">
      <c r="F540"/>
      <c r="G540"/>
    </row>
    <row r="541" spans="6:7">
      <c r="F541"/>
      <c r="G541"/>
    </row>
    <row r="542" spans="6:7">
      <c r="F542"/>
      <c r="G542"/>
    </row>
    <row r="543" spans="6:7">
      <c r="F543"/>
      <c r="G543"/>
    </row>
    <row r="544" spans="6:7">
      <c r="F544"/>
      <c r="G544"/>
    </row>
    <row r="545" spans="6:7">
      <c r="F545"/>
      <c r="G545"/>
    </row>
    <row r="546" spans="6:7">
      <c r="F546"/>
      <c r="G546"/>
    </row>
    <row r="547" spans="6:7">
      <c r="F547"/>
      <c r="G547"/>
    </row>
    <row r="548" spans="6:7">
      <c r="F548"/>
      <c r="G548"/>
    </row>
    <row r="549" spans="6:7">
      <c r="F549"/>
      <c r="G549"/>
    </row>
    <row r="550" spans="6:7">
      <c r="F550"/>
      <c r="G550"/>
    </row>
    <row r="551" spans="6:7">
      <c r="F551"/>
      <c r="G551"/>
    </row>
    <row r="552" spans="6:7">
      <c r="F552"/>
      <c r="G552"/>
    </row>
    <row r="553" spans="6:7">
      <c r="F553"/>
      <c r="G553"/>
    </row>
    <row r="554" spans="6:7">
      <c r="F554"/>
      <c r="G554"/>
    </row>
    <row r="555" spans="6:7">
      <c r="F555"/>
      <c r="G555"/>
    </row>
    <row r="556" spans="6:7">
      <c r="F556"/>
      <c r="G556"/>
    </row>
    <row r="557" spans="6:7">
      <c r="F557"/>
      <c r="G557"/>
    </row>
    <row r="558" spans="6:7">
      <c r="F558"/>
      <c r="G558"/>
    </row>
    <row r="559" spans="6:7">
      <c r="F559"/>
      <c r="G559"/>
    </row>
    <row r="560" spans="6:7">
      <c r="F560"/>
      <c r="G560"/>
    </row>
    <row r="561" spans="6:7">
      <c r="F561"/>
      <c r="G561"/>
    </row>
    <row r="562" spans="6:7">
      <c r="F562"/>
      <c r="G562"/>
    </row>
    <row r="563" spans="6:7">
      <c r="F563"/>
      <c r="G563"/>
    </row>
    <row r="564" spans="6:7">
      <c r="F564"/>
      <c r="G564"/>
    </row>
    <row r="565" spans="6:7">
      <c r="F565"/>
      <c r="G565"/>
    </row>
    <row r="566" spans="6:7">
      <c r="F566"/>
      <c r="G566"/>
    </row>
    <row r="567" spans="6:7">
      <c r="F567"/>
      <c r="G567"/>
    </row>
    <row r="568" spans="6:7">
      <c r="F568"/>
      <c r="G568"/>
    </row>
    <row r="569" spans="6:7">
      <c r="F569"/>
      <c r="G569"/>
    </row>
    <row r="570" spans="6:7">
      <c r="F570"/>
      <c r="G570"/>
    </row>
    <row r="571" spans="6:7">
      <c r="F571"/>
      <c r="G571"/>
    </row>
    <row r="572" spans="6:7">
      <c r="F572"/>
      <c r="G572"/>
    </row>
    <row r="573" spans="6:7">
      <c r="F573"/>
      <c r="G573"/>
    </row>
    <row r="574" spans="6:7">
      <c r="F574"/>
      <c r="G574"/>
    </row>
    <row r="575" spans="6:7">
      <c r="F575"/>
      <c r="G575"/>
    </row>
    <row r="576" spans="6:7">
      <c r="F576"/>
      <c r="G576"/>
    </row>
    <row r="577" spans="6:7">
      <c r="F577"/>
      <c r="G577"/>
    </row>
    <row r="578" spans="6:7">
      <c r="F578"/>
      <c r="G578"/>
    </row>
    <row r="579" spans="6:7">
      <c r="F579"/>
      <c r="G579"/>
    </row>
    <row r="580" spans="6:7">
      <c r="F580"/>
      <c r="G580"/>
    </row>
    <row r="581" spans="6:7">
      <c r="F581"/>
      <c r="G581"/>
    </row>
    <row r="582" spans="6:7">
      <c r="F582"/>
      <c r="G582"/>
    </row>
    <row r="583" spans="6:7">
      <c r="F583"/>
      <c r="G583"/>
    </row>
    <row r="584" spans="6:7">
      <c r="F584"/>
      <c r="G584"/>
    </row>
    <row r="585" spans="6:7">
      <c r="F585"/>
      <c r="G585"/>
    </row>
    <row r="586" spans="6:7">
      <c r="F586"/>
      <c r="G586"/>
    </row>
    <row r="587" spans="6:7">
      <c r="F587"/>
      <c r="G587"/>
    </row>
    <row r="588" spans="6:7">
      <c r="F588"/>
      <c r="G588"/>
    </row>
    <row r="589" spans="6:7">
      <c r="F589"/>
      <c r="G589"/>
    </row>
    <row r="590" spans="6:7">
      <c r="F590"/>
      <c r="G590"/>
    </row>
    <row r="591" spans="6:7">
      <c r="F591"/>
      <c r="G591"/>
    </row>
    <row r="592" spans="6:7">
      <c r="F592"/>
      <c r="G592"/>
    </row>
    <row r="593" spans="6:7">
      <c r="F593"/>
      <c r="G593"/>
    </row>
    <row r="594" spans="6:7">
      <c r="F594"/>
      <c r="G594"/>
    </row>
    <row r="595" spans="6:7">
      <c r="F595"/>
      <c r="G595"/>
    </row>
    <row r="596" spans="6:7">
      <c r="F596"/>
      <c r="G596"/>
    </row>
    <row r="597" spans="6:7">
      <c r="F597"/>
      <c r="G597"/>
    </row>
    <row r="598" spans="6:7">
      <c r="F598"/>
      <c r="G598"/>
    </row>
    <row r="599" spans="6:7">
      <c r="F599"/>
      <c r="G599"/>
    </row>
    <row r="600" spans="6:7">
      <c r="F600"/>
      <c r="G600"/>
    </row>
    <row r="601" spans="6:7">
      <c r="F601"/>
      <c r="G601"/>
    </row>
    <row r="602" spans="6:7">
      <c r="F602"/>
      <c r="G602"/>
    </row>
    <row r="603" spans="6:7">
      <c r="F603"/>
      <c r="G603"/>
    </row>
    <row r="604" spans="6:7">
      <c r="F604"/>
      <c r="G604"/>
    </row>
    <row r="605" spans="6:7">
      <c r="F605"/>
      <c r="G605"/>
    </row>
    <row r="606" spans="6:7">
      <c r="F606"/>
      <c r="G606"/>
    </row>
    <row r="607" spans="6:7">
      <c r="F607"/>
      <c r="G607"/>
    </row>
    <row r="608" spans="6:7">
      <c r="F608"/>
      <c r="G608"/>
    </row>
    <row r="609" spans="6:7">
      <c r="F609"/>
      <c r="G609"/>
    </row>
    <row r="610" spans="6:7">
      <c r="F610"/>
      <c r="G610"/>
    </row>
    <row r="611" spans="6:7">
      <c r="F611"/>
      <c r="G611"/>
    </row>
    <row r="612" spans="6:7">
      <c r="F612"/>
      <c r="G612"/>
    </row>
    <row r="613" spans="6:7">
      <c r="F613"/>
      <c r="G613"/>
    </row>
    <row r="614" spans="6:7">
      <c r="F614"/>
      <c r="G614"/>
    </row>
    <row r="615" spans="6:7">
      <c r="F615"/>
      <c r="G615"/>
    </row>
    <row r="616" spans="6:7">
      <c r="F616"/>
      <c r="G616"/>
    </row>
    <row r="617" spans="6:7">
      <c r="F617"/>
      <c r="G617"/>
    </row>
    <row r="618" spans="6:7">
      <c r="F618"/>
      <c r="G618"/>
    </row>
    <row r="619" spans="6:7">
      <c r="F619"/>
      <c r="G619"/>
    </row>
    <row r="620" spans="6:7">
      <c r="F620"/>
      <c r="G620"/>
    </row>
    <row r="621" spans="6:7">
      <c r="F621"/>
      <c r="G621"/>
    </row>
    <row r="622" spans="6:7">
      <c r="F622"/>
      <c r="G622"/>
    </row>
    <row r="623" spans="6:7">
      <c r="F623"/>
      <c r="G623"/>
    </row>
    <row r="624" spans="6:7">
      <c r="F624"/>
      <c r="G624"/>
    </row>
    <row r="625" spans="6:7">
      <c r="F625"/>
      <c r="G625"/>
    </row>
    <row r="626" spans="6:7">
      <c r="F626"/>
      <c r="G626"/>
    </row>
    <row r="627" spans="6:7">
      <c r="F627"/>
      <c r="G627"/>
    </row>
    <row r="628" spans="6:7">
      <c r="F628"/>
      <c r="G628"/>
    </row>
    <row r="629" spans="6:7">
      <c r="F629"/>
      <c r="G629"/>
    </row>
    <row r="630" spans="6:7">
      <c r="F630"/>
      <c r="G630"/>
    </row>
    <row r="631" spans="6:7">
      <c r="F631"/>
      <c r="G631"/>
    </row>
    <row r="632" spans="6:7">
      <c r="F632"/>
      <c r="G632"/>
    </row>
    <row r="633" spans="6:7">
      <c r="F633"/>
      <c r="G633"/>
    </row>
    <row r="634" spans="6:7">
      <c r="F634"/>
      <c r="G634"/>
    </row>
    <row r="635" spans="6:7">
      <c r="F635"/>
      <c r="G635"/>
    </row>
    <row r="636" spans="6:7">
      <c r="F636"/>
      <c r="G636"/>
    </row>
    <row r="637" spans="6:7">
      <c r="F637"/>
      <c r="G637"/>
    </row>
    <row r="638" spans="6:7">
      <c r="F638"/>
      <c r="G638"/>
    </row>
    <row r="639" spans="6:7">
      <c r="F639"/>
      <c r="G639"/>
    </row>
    <row r="640" spans="6:7">
      <c r="F640"/>
      <c r="G640"/>
    </row>
    <row r="641" spans="6:7">
      <c r="F641"/>
      <c r="G641"/>
    </row>
    <row r="642" spans="6:7">
      <c r="F642"/>
      <c r="G642"/>
    </row>
    <row r="643" spans="6:7">
      <c r="F643"/>
      <c r="G643"/>
    </row>
    <row r="644" spans="6:7">
      <c r="F644"/>
      <c r="G644"/>
    </row>
    <row r="645" spans="6:7">
      <c r="F645"/>
      <c r="G645"/>
    </row>
    <row r="646" spans="6:7">
      <c r="F646"/>
      <c r="G646"/>
    </row>
    <row r="647" spans="6:7">
      <c r="F647"/>
      <c r="G647"/>
    </row>
    <row r="648" spans="6:7">
      <c r="F648"/>
      <c r="G648"/>
    </row>
    <row r="649" spans="6:7">
      <c r="F649"/>
      <c r="G649"/>
    </row>
    <row r="650" spans="6:7">
      <c r="F650"/>
      <c r="G650"/>
    </row>
    <row r="651" spans="6:7">
      <c r="F651"/>
      <c r="G651"/>
    </row>
    <row r="652" spans="6:7">
      <c r="F652"/>
      <c r="G652"/>
    </row>
    <row r="653" spans="6:7">
      <c r="F653"/>
      <c r="G653"/>
    </row>
    <row r="654" spans="6:7">
      <c r="F654"/>
      <c r="G654"/>
    </row>
    <row r="655" spans="6:7">
      <c r="F655"/>
      <c r="G655"/>
    </row>
    <row r="656" spans="6:7">
      <c r="F656"/>
      <c r="G656"/>
    </row>
    <row r="657" spans="6:7">
      <c r="F657"/>
      <c r="G657"/>
    </row>
    <row r="658" spans="6:7">
      <c r="F658"/>
      <c r="G658"/>
    </row>
    <row r="659" spans="6:7">
      <c r="F659"/>
      <c r="G659"/>
    </row>
    <row r="660" spans="6:7">
      <c r="F660"/>
      <c r="G660"/>
    </row>
    <row r="661" spans="6:7">
      <c r="F661"/>
      <c r="G661"/>
    </row>
    <row r="662" spans="6:7">
      <c r="F662"/>
      <c r="G662"/>
    </row>
    <row r="663" spans="6:7">
      <c r="F663"/>
      <c r="G663"/>
    </row>
    <row r="664" spans="6:7">
      <c r="F664"/>
      <c r="G664"/>
    </row>
    <row r="665" spans="6:7">
      <c r="F665"/>
      <c r="G665"/>
    </row>
    <row r="666" spans="6:7">
      <c r="F666"/>
      <c r="G666"/>
    </row>
    <row r="667" spans="6:7">
      <c r="F667"/>
      <c r="G667"/>
    </row>
    <row r="668" spans="6:7">
      <c r="F668"/>
      <c r="G668"/>
    </row>
    <row r="669" spans="6:7">
      <c r="F669"/>
      <c r="G669"/>
    </row>
    <row r="670" spans="6:7">
      <c r="F670"/>
      <c r="G670"/>
    </row>
    <row r="671" spans="6:7">
      <c r="F671"/>
      <c r="G671"/>
    </row>
    <row r="672" spans="6:7">
      <c r="F672"/>
      <c r="G672"/>
    </row>
    <row r="673" spans="6:7">
      <c r="F673"/>
      <c r="G673"/>
    </row>
    <row r="674" spans="6:7">
      <c r="F674"/>
      <c r="G674"/>
    </row>
    <row r="675" spans="6:7">
      <c r="F675"/>
      <c r="G675"/>
    </row>
    <row r="676" spans="6:7">
      <c r="F676"/>
      <c r="G676"/>
    </row>
    <row r="677" spans="6:7">
      <c r="F677"/>
      <c r="G677"/>
    </row>
    <row r="678" spans="6:7">
      <c r="F678"/>
      <c r="G678"/>
    </row>
    <row r="679" spans="6:7">
      <c r="F679"/>
      <c r="G679"/>
    </row>
    <row r="680" spans="6:7">
      <c r="F680"/>
      <c r="G680"/>
    </row>
    <row r="681" spans="6:7">
      <c r="F681"/>
      <c r="G681"/>
    </row>
    <row r="682" spans="6:7">
      <c r="F682"/>
      <c r="G682"/>
    </row>
    <row r="683" spans="6:7">
      <c r="F683"/>
      <c r="G683"/>
    </row>
    <row r="684" spans="6:7">
      <c r="F684"/>
      <c r="G684"/>
    </row>
    <row r="685" spans="6:7">
      <c r="F685"/>
      <c r="G685"/>
    </row>
    <row r="686" spans="6:7">
      <c r="F686"/>
      <c r="G686"/>
    </row>
    <row r="687" spans="6:7">
      <c r="F687"/>
      <c r="G687"/>
    </row>
    <row r="688" spans="6:7">
      <c r="F688"/>
      <c r="G688"/>
    </row>
    <row r="689" spans="6:7">
      <c r="F689"/>
      <c r="G689"/>
    </row>
    <row r="690" spans="6:7">
      <c r="F690"/>
      <c r="G690"/>
    </row>
    <row r="691" spans="6:7">
      <c r="F691"/>
      <c r="G691"/>
    </row>
    <row r="692" spans="6:7">
      <c r="F692"/>
      <c r="G692"/>
    </row>
    <row r="693" spans="6:7">
      <c r="F693"/>
      <c r="G693"/>
    </row>
    <row r="694" spans="6:7">
      <c r="F694"/>
      <c r="G694"/>
    </row>
    <row r="695" spans="6:7">
      <c r="F695"/>
      <c r="G695"/>
    </row>
    <row r="696" spans="6:7">
      <c r="F696"/>
      <c r="G696"/>
    </row>
    <row r="697" spans="6:7">
      <c r="F697"/>
      <c r="G697"/>
    </row>
    <row r="698" spans="6:7">
      <c r="F698"/>
      <c r="G698"/>
    </row>
    <row r="699" spans="6:7">
      <c r="F699"/>
      <c r="G699"/>
    </row>
    <row r="700" spans="6:7">
      <c r="F700"/>
      <c r="G700"/>
    </row>
    <row r="701" spans="6:7">
      <c r="F701"/>
      <c r="G701"/>
    </row>
    <row r="702" spans="6:7">
      <c r="F702"/>
      <c r="G702"/>
    </row>
    <row r="703" spans="6:7">
      <c r="F703"/>
      <c r="G703"/>
    </row>
    <row r="704" spans="6:7">
      <c r="F704"/>
      <c r="G704"/>
    </row>
    <row r="705" spans="6:7">
      <c r="F705"/>
      <c r="G705"/>
    </row>
    <row r="706" spans="6:7">
      <c r="F706"/>
      <c r="G706"/>
    </row>
    <row r="707" spans="6:7">
      <c r="F707"/>
      <c r="G707"/>
    </row>
    <row r="708" spans="6:7">
      <c r="F708"/>
      <c r="G708"/>
    </row>
    <row r="709" spans="6:7">
      <c r="F709"/>
      <c r="G709"/>
    </row>
    <row r="710" spans="6:7">
      <c r="F710"/>
      <c r="G710"/>
    </row>
    <row r="711" spans="6:7">
      <c r="F711"/>
      <c r="G711"/>
    </row>
    <row r="712" spans="6:7">
      <c r="F712"/>
      <c r="G712"/>
    </row>
    <row r="713" spans="6:7">
      <c r="F713"/>
      <c r="G713"/>
    </row>
    <row r="714" spans="6:7">
      <c r="F714"/>
      <c r="G714"/>
    </row>
    <row r="715" spans="6:7">
      <c r="F715"/>
      <c r="G715"/>
    </row>
    <row r="716" spans="6:7">
      <c r="F716"/>
      <c r="G716"/>
    </row>
    <row r="717" spans="6:7">
      <c r="F717"/>
      <c r="G717"/>
    </row>
    <row r="718" spans="6:7">
      <c r="F718"/>
      <c r="G718"/>
    </row>
    <row r="719" spans="6:7">
      <c r="F719"/>
      <c r="G719"/>
    </row>
    <row r="720" spans="6:7">
      <c r="F720"/>
      <c r="G720"/>
    </row>
    <row r="721" spans="6:7">
      <c r="F721"/>
      <c r="G721"/>
    </row>
    <row r="722" spans="6:7">
      <c r="F722"/>
      <c r="G722"/>
    </row>
    <row r="723" spans="6:7">
      <c r="F723"/>
      <c r="G723"/>
    </row>
    <row r="724" spans="6:7">
      <c r="F724"/>
      <c r="G724"/>
    </row>
    <row r="725" spans="6:7">
      <c r="F725"/>
      <c r="G725"/>
    </row>
    <row r="726" spans="6:7">
      <c r="F726"/>
      <c r="G726"/>
    </row>
    <row r="727" spans="6:7">
      <c r="F727"/>
      <c r="G727"/>
    </row>
    <row r="728" spans="6:7">
      <c r="F728"/>
      <c r="G728"/>
    </row>
    <row r="729" spans="6:7">
      <c r="F729"/>
      <c r="G729"/>
    </row>
    <row r="730" spans="6:7">
      <c r="F730"/>
      <c r="G730"/>
    </row>
    <row r="731" spans="6:7">
      <c r="F731"/>
      <c r="G731"/>
    </row>
    <row r="732" spans="6:7">
      <c r="F732"/>
      <c r="G732"/>
    </row>
    <row r="733" spans="6:7">
      <c r="F733"/>
      <c r="G733"/>
    </row>
    <row r="734" spans="6:7">
      <c r="F734"/>
      <c r="G734"/>
    </row>
    <row r="735" spans="6:7">
      <c r="F735"/>
      <c r="G735"/>
    </row>
    <row r="737" spans="6:7">
      <c r="F737"/>
      <c r="G737"/>
    </row>
    <row r="738" spans="6:7">
      <c r="F738"/>
      <c r="G738"/>
    </row>
    <row r="739" spans="6:7">
      <c r="F739"/>
      <c r="G739"/>
    </row>
    <row r="740" spans="6:7">
      <c r="F740"/>
      <c r="G740"/>
    </row>
    <row r="741" spans="6:7">
      <c r="F741"/>
      <c r="G741"/>
    </row>
    <row r="742" spans="6:7">
      <c r="F742"/>
      <c r="G742"/>
    </row>
    <row r="743" spans="6:7">
      <c r="F743"/>
      <c r="G743"/>
    </row>
    <row r="744" spans="6:7">
      <c r="F744"/>
      <c r="G744"/>
    </row>
    <row r="745" spans="6:7">
      <c r="F745"/>
      <c r="G745"/>
    </row>
    <row r="746" spans="6:7">
      <c r="F746"/>
      <c r="G746"/>
    </row>
    <row r="747" spans="6:7">
      <c r="F747"/>
      <c r="G747"/>
    </row>
    <row r="748" spans="6:7">
      <c r="F748"/>
      <c r="G748"/>
    </row>
    <row r="749" spans="6:7">
      <c r="F749"/>
      <c r="G749"/>
    </row>
    <row r="750" spans="6:7">
      <c r="F750"/>
      <c r="G750"/>
    </row>
    <row r="751" spans="6:7">
      <c r="F751"/>
      <c r="G751"/>
    </row>
    <row r="752" spans="6:7">
      <c r="F752"/>
      <c r="G752"/>
    </row>
    <row r="753" spans="6:7">
      <c r="F753"/>
      <c r="G753"/>
    </row>
    <row r="754" spans="6:7">
      <c r="F754"/>
      <c r="G754"/>
    </row>
    <row r="755" spans="6:7">
      <c r="F755"/>
      <c r="G755"/>
    </row>
    <row r="756" spans="6:7">
      <c r="F756"/>
      <c r="G756"/>
    </row>
    <row r="757" spans="6:7">
      <c r="F757"/>
      <c r="G757"/>
    </row>
    <row r="758" spans="6:7">
      <c r="F758"/>
      <c r="G758"/>
    </row>
    <row r="759" spans="6:7">
      <c r="F759"/>
      <c r="G759"/>
    </row>
    <row r="760" spans="6:7">
      <c r="F760"/>
      <c r="G760"/>
    </row>
    <row r="761" spans="6:7">
      <c r="F761"/>
      <c r="G761"/>
    </row>
    <row r="762" spans="6:7">
      <c r="F762"/>
      <c r="G762"/>
    </row>
    <row r="763" spans="6:7">
      <c r="F763"/>
      <c r="G763"/>
    </row>
    <row r="764" spans="6:7">
      <c r="F764"/>
      <c r="G764"/>
    </row>
    <row r="765" spans="6:7">
      <c r="F765"/>
      <c r="G765"/>
    </row>
    <row r="766" spans="6:7">
      <c r="F766"/>
      <c r="G766"/>
    </row>
    <row r="767" spans="6:7">
      <c r="F767"/>
      <c r="G767"/>
    </row>
    <row r="768" spans="6:7">
      <c r="F768"/>
      <c r="G768"/>
    </row>
    <row r="769" spans="6:7">
      <c r="F769"/>
      <c r="G769"/>
    </row>
    <row r="770" spans="6:7">
      <c r="F770"/>
      <c r="G770"/>
    </row>
    <row r="771" spans="6:7">
      <c r="F771"/>
      <c r="G771"/>
    </row>
    <row r="772" spans="6:7">
      <c r="F772"/>
      <c r="G772"/>
    </row>
    <row r="773" spans="6:7">
      <c r="F773"/>
      <c r="G773"/>
    </row>
    <row r="774" spans="6:7">
      <c r="F774"/>
      <c r="G774"/>
    </row>
    <row r="775" spans="6:7">
      <c r="F775"/>
      <c r="G775"/>
    </row>
    <row r="776" spans="6:7">
      <c r="F776"/>
      <c r="G776"/>
    </row>
    <row r="777" spans="6:7">
      <c r="F777"/>
      <c r="G777"/>
    </row>
    <row r="778" spans="6:7">
      <c r="F778"/>
      <c r="G778"/>
    </row>
    <row r="779" spans="6:7">
      <c r="F779"/>
      <c r="G779"/>
    </row>
    <row r="780" spans="6:7">
      <c r="F780"/>
      <c r="G780"/>
    </row>
    <row r="781" spans="6:7">
      <c r="F781"/>
      <c r="G781"/>
    </row>
    <row r="782" spans="6:7">
      <c r="F782"/>
      <c r="G782"/>
    </row>
    <row r="783" spans="6:7">
      <c r="F783"/>
      <c r="G783"/>
    </row>
    <row r="784" spans="6:7">
      <c r="F784"/>
      <c r="G784"/>
    </row>
    <row r="785" spans="6:7">
      <c r="F785"/>
      <c r="G785"/>
    </row>
    <row r="786" spans="6:7">
      <c r="F786"/>
      <c r="G786"/>
    </row>
    <row r="787" spans="6:7">
      <c r="F787"/>
      <c r="G787"/>
    </row>
    <row r="788" spans="6:7">
      <c r="F788"/>
      <c r="G788"/>
    </row>
    <row r="789" spans="6:7">
      <c r="F789"/>
      <c r="G789"/>
    </row>
    <row r="790" spans="6:7">
      <c r="F790"/>
      <c r="G790"/>
    </row>
    <row r="791" spans="6:7">
      <c r="F791"/>
      <c r="G791"/>
    </row>
    <row r="792" spans="6:7">
      <c r="F792"/>
      <c r="G792"/>
    </row>
    <row r="793" spans="6:7">
      <c r="F793"/>
      <c r="G793"/>
    </row>
    <row r="794" spans="6:7">
      <c r="F794"/>
      <c r="G794"/>
    </row>
    <row r="795" spans="6:7">
      <c r="F795"/>
      <c r="G795"/>
    </row>
    <row r="796" spans="6:7">
      <c r="F796"/>
      <c r="G796"/>
    </row>
    <row r="797" spans="6:7">
      <c r="F797"/>
      <c r="G797"/>
    </row>
    <row r="798" spans="6:7">
      <c r="F798"/>
      <c r="G798"/>
    </row>
    <row r="799" spans="6:7">
      <c r="F799"/>
      <c r="G799"/>
    </row>
    <row r="800" spans="6:7">
      <c r="F800"/>
      <c r="G800"/>
    </row>
    <row r="801" spans="6:7">
      <c r="F801"/>
      <c r="G801"/>
    </row>
    <row r="802" spans="6:7">
      <c r="F802"/>
      <c r="G802"/>
    </row>
    <row r="803" spans="6:7">
      <c r="F803"/>
      <c r="G803"/>
    </row>
    <row r="804" spans="6:7">
      <c r="F804"/>
      <c r="G804"/>
    </row>
    <row r="805" spans="6:7">
      <c r="F805"/>
      <c r="G805"/>
    </row>
    <row r="806" spans="6:7">
      <c r="F806"/>
      <c r="G806"/>
    </row>
    <row r="807" spans="6:7">
      <c r="F807"/>
      <c r="G807"/>
    </row>
    <row r="808" spans="6:7">
      <c r="F808"/>
      <c r="G808"/>
    </row>
    <row r="809" spans="6:7">
      <c r="F809"/>
      <c r="G809"/>
    </row>
    <row r="810" spans="6:7">
      <c r="F810"/>
      <c r="G810"/>
    </row>
    <row r="811" spans="6:7">
      <c r="F811"/>
      <c r="G811"/>
    </row>
    <row r="812" spans="6:7">
      <c r="F812"/>
      <c r="G812"/>
    </row>
    <row r="813" spans="6:7">
      <c r="F813"/>
      <c r="G813"/>
    </row>
    <row r="814" spans="6:7">
      <c r="F814"/>
      <c r="G814"/>
    </row>
    <row r="815" spans="6:7">
      <c r="F815"/>
      <c r="G815"/>
    </row>
    <row r="816" spans="6:7">
      <c r="F816"/>
      <c r="G816"/>
    </row>
    <row r="817" spans="6:7">
      <c r="F817"/>
      <c r="G817"/>
    </row>
    <row r="818" spans="6:7">
      <c r="F818"/>
      <c r="G818"/>
    </row>
    <row r="819" spans="6:7">
      <c r="F819"/>
      <c r="G819"/>
    </row>
    <row r="820" spans="6:7">
      <c r="F820"/>
      <c r="G820"/>
    </row>
    <row r="821" spans="6:7">
      <c r="F821"/>
      <c r="G821"/>
    </row>
    <row r="822" spans="6:7">
      <c r="F822"/>
      <c r="G822"/>
    </row>
    <row r="823" spans="6:7">
      <c r="F823"/>
      <c r="G823"/>
    </row>
    <row r="824" spans="6:7">
      <c r="F824"/>
      <c r="G824"/>
    </row>
    <row r="825" spans="6:7">
      <c r="F825"/>
      <c r="G825"/>
    </row>
    <row r="826" spans="6:7">
      <c r="F826"/>
      <c r="G826"/>
    </row>
    <row r="827" spans="6:7">
      <c r="F827"/>
      <c r="G827"/>
    </row>
    <row r="828" spans="6:7">
      <c r="F828"/>
      <c r="G828"/>
    </row>
    <row r="829" spans="6:7">
      <c r="F829"/>
      <c r="G829"/>
    </row>
    <row r="830" spans="6:7">
      <c r="F830"/>
      <c r="G830"/>
    </row>
    <row r="831" spans="6:7">
      <c r="F831"/>
      <c r="G831"/>
    </row>
    <row r="832" spans="6:7">
      <c r="F832"/>
      <c r="G832"/>
    </row>
    <row r="833" spans="6:7">
      <c r="F833"/>
      <c r="G833"/>
    </row>
    <row r="834" spans="6:7">
      <c r="F834"/>
      <c r="G834"/>
    </row>
    <row r="835" spans="6:7">
      <c r="F835"/>
      <c r="G835"/>
    </row>
    <row r="836" spans="6:7">
      <c r="F836"/>
      <c r="G836"/>
    </row>
    <row r="837" spans="6:7">
      <c r="F837"/>
      <c r="G837"/>
    </row>
    <row r="838" spans="6:7">
      <c r="F838"/>
      <c r="G838"/>
    </row>
    <row r="839" spans="6:7">
      <c r="F839"/>
      <c r="G839"/>
    </row>
    <row r="840" spans="6:7">
      <c r="F840"/>
      <c r="G840"/>
    </row>
    <row r="841" spans="6:7">
      <c r="F841"/>
      <c r="G841"/>
    </row>
    <row r="842" spans="6:7">
      <c r="F842"/>
      <c r="G842"/>
    </row>
    <row r="843" spans="6:7">
      <c r="F843"/>
      <c r="G843"/>
    </row>
    <row r="844" spans="6:7">
      <c r="F844"/>
      <c r="G844"/>
    </row>
    <row r="845" spans="6:7">
      <c r="F845"/>
      <c r="G845"/>
    </row>
    <row r="846" spans="6:7">
      <c r="F846"/>
      <c r="G846"/>
    </row>
    <row r="847" spans="6:7">
      <c r="F847"/>
      <c r="G847"/>
    </row>
    <row r="848" spans="6:7">
      <c r="F848"/>
      <c r="G848"/>
    </row>
    <row r="849" spans="6:7">
      <c r="F849"/>
      <c r="G849"/>
    </row>
    <row r="850" spans="6:7">
      <c r="F850"/>
      <c r="G850"/>
    </row>
    <row r="851" spans="6:7">
      <c r="F851"/>
      <c r="G851"/>
    </row>
    <row r="852" spans="6:7">
      <c r="F852"/>
      <c r="G852"/>
    </row>
    <row r="853" spans="6:7">
      <c r="F853"/>
      <c r="G853"/>
    </row>
    <row r="854" spans="6:7">
      <c r="F854"/>
      <c r="G854"/>
    </row>
    <row r="855" spans="6:7">
      <c r="F855"/>
      <c r="G855"/>
    </row>
    <row r="856" spans="6:7">
      <c r="F856"/>
      <c r="G856"/>
    </row>
    <row r="857" spans="6:7">
      <c r="F857"/>
      <c r="G857"/>
    </row>
    <row r="858" spans="6:7">
      <c r="F858"/>
      <c r="G858"/>
    </row>
    <row r="859" spans="6:7">
      <c r="F859"/>
      <c r="G859"/>
    </row>
    <row r="860" spans="6:7">
      <c r="F860"/>
      <c r="G860"/>
    </row>
    <row r="861" spans="6:7">
      <c r="F861"/>
      <c r="G861"/>
    </row>
    <row r="862" spans="6:7">
      <c r="F862"/>
      <c r="G862"/>
    </row>
    <row r="863" spans="6:7">
      <c r="F863"/>
      <c r="G863"/>
    </row>
    <row r="864" spans="6:7">
      <c r="F864"/>
      <c r="G864"/>
    </row>
    <row r="865" spans="6:7">
      <c r="F865"/>
      <c r="G865"/>
    </row>
    <row r="866" spans="6:7">
      <c r="F866"/>
      <c r="G866"/>
    </row>
    <row r="867" spans="6:7">
      <c r="F867"/>
      <c r="G867"/>
    </row>
    <row r="868" spans="6:7">
      <c r="F868"/>
      <c r="G868"/>
    </row>
    <row r="869" spans="6:7">
      <c r="F869"/>
      <c r="G869"/>
    </row>
    <row r="870" spans="6:7">
      <c r="F870"/>
      <c r="G870"/>
    </row>
    <row r="871" spans="6:7">
      <c r="F871"/>
      <c r="G871"/>
    </row>
    <row r="872" spans="6:7">
      <c r="F872"/>
      <c r="G872"/>
    </row>
    <row r="873" spans="6:7">
      <c r="F873"/>
      <c r="G873"/>
    </row>
    <row r="874" spans="6:7">
      <c r="F874"/>
      <c r="G874"/>
    </row>
    <row r="875" spans="6:7">
      <c r="F875"/>
      <c r="G875"/>
    </row>
    <row r="876" spans="6:7">
      <c r="F876"/>
      <c r="G876"/>
    </row>
    <row r="877" spans="6:7">
      <c r="F877"/>
      <c r="G877"/>
    </row>
    <row r="878" spans="6:7">
      <c r="F878"/>
      <c r="G878"/>
    </row>
    <row r="879" spans="6:7">
      <c r="F879"/>
      <c r="G879"/>
    </row>
    <row r="880" spans="6:7">
      <c r="F880"/>
      <c r="G880"/>
    </row>
    <row r="881" spans="6:7">
      <c r="F881"/>
      <c r="G881"/>
    </row>
    <row r="882" spans="6:7">
      <c r="F882"/>
      <c r="G882"/>
    </row>
    <row r="883" spans="6:7">
      <c r="F883"/>
      <c r="G883"/>
    </row>
    <row r="884" spans="6:7">
      <c r="F884"/>
      <c r="G884"/>
    </row>
    <row r="885" spans="6:7">
      <c r="F885"/>
      <c r="G885"/>
    </row>
    <row r="886" spans="6:7">
      <c r="F886"/>
      <c r="G886"/>
    </row>
    <row r="887" spans="6:7">
      <c r="F887"/>
      <c r="G887"/>
    </row>
    <row r="888" spans="6:7">
      <c r="F888"/>
      <c r="G888"/>
    </row>
    <row r="889" spans="6:7">
      <c r="F889"/>
      <c r="G889"/>
    </row>
    <row r="890" spans="6:7">
      <c r="F890"/>
      <c r="G890"/>
    </row>
    <row r="891" spans="6:7">
      <c r="F891"/>
      <c r="G891"/>
    </row>
    <row r="892" spans="6:7">
      <c r="F892"/>
      <c r="G892"/>
    </row>
    <row r="893" spans="6:7">
      <c r="F893"/>
      <c r="G893"/>
    </row>
    <row r="894" spans="6:7">
      <c r="F894"/>
      <c r="G894"/>
    </row>
    <row r="895" spans="6:7">
      <c r="F895"/>
      <c r="G895"/>
    </row>
    <row r="896" spans="6:7">
      <c r="F896"/>
      <c r="G896"/>
    </row>
    <row r="897" spans="6:7">
      <c r="F897"/>
      <c r="G897"/>
    </row>
    <row r="898" spans="6:7">
      <c r="F898"/>
      <c r="G898"/>
    </row>
    <row r="899" spans="6:7">
      <c r="F899"/>
      <c r="G899"/>
    </row>
    <row r="900" spans="6:7">
      <c r="F900"/>
      <c r="G900"/>
    </row>
    <row r="901" spans="6:7">
      <c r="F901"/>
      <c r="G901"/>
    </row>
    <row r="902" spans="6:7">
      <c r="F902"/>
      <c r="G902"/>
    </row>
    <row r="903" spans="6:7">
      <c r="F903"/>
      <c r="G903"/>
    </row>
    <row r="904" spans="6:7">
      <c r="F904"/>
      <c r="G904"/>
    </row>
    <row r="905" spans="6:7">
      <c r="F905"/>
      <c r="G905"/>
    </row>
    <row r="906" spans="6:7">
      <c r="F906"/>
      <c r="G906"/>
    </row>
    <row r="907" spans="6:7">
      <c r="F907"/>
      <c r="G907"/>
    </row>
    <row r="908" spans="6:7">
      <c r="F908"/>
      <c r="G908"/>
    </row>
    <row r="909" spans="6:7">
      <c r="F909"/>
      <c r="G909"/>
    </row>
    <row r="910" spans="6:7">
      <c r="F910"/>
      <c r="G910"/>
    </row>
    <row r="911" spans="6:7">
      <c r="F911"/>
      <c r="G911"/>
    </row>
    <row r="912" spans="6:7">
      <c r="F912"/>
      <c r="G912"/>
    </row>
    <row r="913" spans="6:7">
      <c r="F913"/>
      <c r="G913"/>
    </row>
    <row r="914" spans="6:7">
      <c r="F914"/>
      <c r="G914"/>
    </row>
    <row r="915" spans="6:7">
      <c r="F915"/>
      <c r="G915"/>
    </row>
    <row r="916" spans="6:7">
      <c r="F916"/>
      <c r="G916"/>
    </row>
    <row r="917" spans="6:7">
      <c r="F917"/>
      <c r="G917"/>
    </row>
    <row r="918" spans="6:7">
      <c r="F918"/>
      <c r="G918"/>
    </row>
    <row r="919" spans="6:7">
      <c r="F919"/>
      <c r="G919"/>
    </row>
    <row r="920" spans="6:7">
      <c r="F920"/>
      <c r="G920"/>
    </row>
    <row r="921" spans="6:7">
      <c r="F921"/>
      <c r="G921"/>
    </row>
    <row r="922" spans="6:7">
      <c r="F922"/>
      <c r="G922"/>
    </row>
    <row r="923" spans="6:7">
      <c r="F923"/>
      <c r="G923"/>
    </row>
    <row r="924" spans="6:7">
      <c r="F924"/>
      <c r="G924"/>
    </row>
    <row r="925" spans="6:7">
      <c r="F925"/>
      <c r="G925"/>
    </row>
    <row r="926" spans="6:7">
      <c r="F926"/>
      <c r="G926"/>
    </row>
    <row r="927" spans="6:7">
      <c r="F927"/>
      <c r="G927"/>
    </row>
    <row r="928" spans="6:7">
      <c r="F928"/>
      <c r="G928"/>
    </row>
    <row r="929" spans="6:7">
      <c r="F929"/>
      <c r="G929"/>
    </row>
    <row r="930" spans="6:7">
      <c r="F930"/>
      <c r="G930"/>
    </row>
    <row r="931" spans="6:7">
      <c r="F931"/>
      <c r="G931"/>
    </row>
    <row r="932" spans="6:7">
      <c r="F932"/>
      <c r="G932"/>
    </row>
    <row r="933" spans="6:7">
      <c r="F933"/>
      <c r="G933"/>
    </row>
    <row r="934" spans="6:7">
      <c r="F934"/>
      <c r="G934"/>
    </row>
    <row r="935" spans="6:7">
      <c r="F935"/>
      <c r="G935"/>
    </row>
    <row r="936" spans="6:7">
      <c r="F936"/>
      <c r="G936"/>
    </row>
    <row r="937" spans="6:7">
      <c r="F937"/>
      <c r="G937"/>
    </row>
    <row r="938" spans="6:7">
      <c r="F938"/>
      <c r="G938"/>
    </row>
    <row r="939" spans="6:7">
      <c r="F939"/>
      <c r="G939"/>
    </row>
    <row r="940" spans="6:7">
      <c r="F940"/>
      <c r="G940"/>
    </row>
    <row r="941" spans="6:7">
      <c r="F941"/>
      <c r="G941"/>
    </row>
    <row r="942" spans="6:7">
      <c r="F942"/>
      <c r="G942"/>
    </row>
    <row r="943" spans="6:7">
      <c r="F943"/>
      <c r="G943"/>
    </row>
    <row r="944" spans="6:7">
      <c r="F944"/>
      <c r="G944"/>
    </row>
    <row r="945" spans="6:7">
      <c r="F945"/>
      <c r="G945"/>
    </row>
    <row r="946" spans="6:7">
      <c r="F946"/>
      <c r="G946"/>
    </row>
    <row r="947" spans="6:7">
      <c r="F947"/>
      <c r="G947"/>
    </row>
    <row r="948" spans="6:7">
      <c r="F948"/>
      <c r="G948"/>
    </row>
    <row r="949" spans="6:7">
      <c r="F949"/>
      <c r="G949"/>
    </row>
    <row r="950" spans="6:7">
      <c r="F950"/>
      <c r="G950"/>
    </row>
    <row r="951" spans="6:7">
      <c r="F951"/>
      <c r="G951"/>
    </row>
    <row r="952" spans="6:7">
      <c r="F952"/>
      <c r="G952"/>
    </row>
    <row r="953" spans="6:7">
      <c r="F953"/>
      <c r="G953"/>
    </row>
    <row r="954" spans="6:7">
      <c r="F954"/>
      <c r="G954"/>
    </row>
    <row r="955" spans="6:7">
      <c r="F955"/>
      <c r="G955"/>
    </row>
    <row r="956" spans="6:7">
      <c r="F956"/>
      <c r="G956"/>
    </row>
    <row r="957" spans="6:7">
      <c r="F957"/>
      <c r="G957"/>
    </row>
    <row r="958" spans="6:7">
      <c r="F958"/>
      <c r="G958"/>
    </row>
    <row r="959" spans="6:7">
      <c r="F959"/>
      <c r="G959"/>
    </row>
    <row r="960" spans="6:7">
      <c r="F960"/>
      <c r="G960"/>
    </row>
    <row r="961" spans="6:7">
      <c r="F961"/>
      <c r="G961"/>
    </row>
    <row r="962" spans="6:7">
      <c r="F962"/>
      <c r="G962"/>
    </row>
    <row r="963" spans="6:7">
      <c r="F963"/>
      <c r="G963"/>
    </row>
    <row r="964" spans="6:7">
      <c r="F964"/>
      <c r="G964"/>
    </row>
    <row r="965" spans="6:7">
      <c r="F965"/>
      <c r="G965"/>
    </row>
    <row r="966" spans="6:7">
      <c r="F966"/>
      <c r="G966"/>
    </row>
    <row r="967" spans="6:7">
      <c r="F967"/>
      <c r="G967"/>
    </row>
    <row r="968" spans="6:7">
      <c r="F968"/>
      <c r="G968"/>
    </row>
    <row r="969" spans="6:7">
      <c r="F969"/>
      <c r="G969"/>
    </row>
    <row r="970" spans="6:7">
      <c r="F970"/>
      <c r="G970"/>
    </row>
    <row r="971" spans="6:7">
      <c r="F971"/>
      <c r="G971"/>
    </row>
    <row r="972" spans="6:7">
      <c r="F972"/>
      <c r="G972"/>
    </row>
    <row r="973" spans="6:7">
      <c r="F973"/>
      <c r="G973"/>
    </row>
    <row r="974" spans="6:7">
      <c r="F974"/>
      <c r="G974"/>
    </row>
    <row r="975" spans="6:7">
      <c r="F975"/>
      <c r="G975"/>
    </row>
    <row r="976" spans="6:7">
      <c r="F976"/>
      <c r="G976"/>
    </row>
    <row r="977" spans="6:7">
      <c r="F977"/>
      <c r="G977"/>
    </row>
    <row r="978" spans="6:7">
      <c r="F978"/>
      <c r="G978"/>
    </row>
    <row r="979" spans="6:7">
      <c r="F979"/>
      <c r="G979"/>
    </row>
    <row r="980" spans="6:7">
      <c r="F980"/>
      <c r="G980"/>
    </row>
    <row r="981" spans="6:7">
      <c r="F981"/>
      <c r="G981"/>
    </row>
    <row r="982" spans="6:7">
      <c r="F982"/>
      <c r="G982"/>
    </row>
    <row r="983" spans="6:7">
      <c r="F983"/>
      <c r="G983"/>
    </row>
    <row r="984" spans="6:7">
      <c r="F984"/>
      <c r="G984"/>
    </row>
    <row r="985" spans="6:7">
      <c r="F985"/>
      <c r="G985"/>
    </row>
    <row r="986" spans="6:7">
      <c r="F986"/>
      <c r="G986"/>
    </row>
    <row r="987" spans="6:7">
      <c r="F987"/>
      <c r="G987"/>
    </row>
    <row r="988" spans="6:7">
      <c r="F988"/>
      <c r="G988"/>
    </row>
    <row r="989" spans="6:7">
      <c r="F989"/>
      <c r="G989"/>
    </row>
    <row r="990" spans="6:7">
      <c r="F990"/>
      <c r="G990"/>
    </row>
    <row r="991" spans="6:7">
      <c r="F991"/>
      <c r="G991"/>
    </row>
    <row r="992" spans="6:7">
      <c r="F992"/>
      <c r="G992"/>
    </row>
    <row r="993" spans="6:7">
      <c r="F993"/>
      <c r="G993"/>
    </row>
    <row r="994" spans="6:7">
      <c r="F994"/>
      <c r="G994"/>
    </row>
    <row r="995" spans="6:7">
      <c r="F995"/>
      <c r="G995"/>
    </row>
    <row r="996" spans="6:7">
      <c r="F996"/>
      <c r="G996"/>
    </row>
    <row r="997" spans="6:7">
      <c r="F997"/>
      <c r="G997"/>
    </row>
    <row r="998" spans="6:7">
      <c r="F998"/>
      <c r="G998"/>
    </row>
    <row r="999" spans="6:7">
      <c r="F999"/>
      <c r="G999"/>
    </row>
    <row r="1000" spans="6:7">
      <c r="F1000"/>
      <c r="G1000"/>
    </row>
    <row r="1001" spans="6:7">
      <c r="F1001"/>
      <c r="G1001"/>
    </row>
    <row r="1002" spans="6:7">
      <c r="F1002"/>
      <c r="G1002"/>
    </row>
    <row r="1003" spans="6:7">
      <c r="F1003"/>
      <c r="G1003"/>
    </row>
    <row r="1004" spans="6:7">
      <c r="F1004"/>
      <c r="G1004"/>
    </row>
    <row r="1005" spans="6:7">
      <c r="F1005"/>
      <c r="G1005"/>
    </row>
    <row r="1006" spans="6:7">
      <c r="F1006"/>
      <c r="G1006"/>
    </row>
    <row r="1007" spans="6:7">
      <c r="F1007"/>
      <c r="G1007"/>
    </row>
    <row r="1008" spans="6:7">
      <c r="F1008"/>
      <c r="G1008"/>
    </row>
    <row r="1009" spans="6:7">
      <c r="F1009"/>
      <c r="G1009"/>
    </row>
    <row r="1010" spans="6:7">
      <c r="F1010"/>
      <c r="G1010"/>
    </row>
    <row r="1011" spans="6:7">
      <c r="F1011"/>
      <c r="G1011"/>
    </row>
    <row r="1012" spans="6:7">
      <c r="F1012"/>
      <c r="G1012"/>
    </row>
    <row r="1013" spans="6:7">
      <c r="F1013"/>
      <c r="G1013"/>
    </row>
    <row r="1014" spans="6:7">
      <c r="F1014"/>
      <c r="G1014"/>
    </row>
    <row r="1015" spans="6:7">
      <c r="F1015"/>
      <c r="G1015"/>
    </row>
    <row r="1016" spans="6:7">
      <c r="F1016"/>
      <c r="G1016"/>
    </row>
    <row r="1017" spans="6:7">
      <c r="F1017"/>
      <c r="G1017"/>
    </row>
    <row r="1018" spans="6:7">
      <c r="F1018"/>
      <c r="G1018"/>
    </row>
    <row r="1019" spans="6:7">
      <c r="F1019"/>
      <c r="G1019"/>
    </row>
    <row r="1020" spans="6:7">
      <c r="F1020"/>
      <c r="G1020"/>
    </row>
    <row r="1021" spans="6:7">
      <c r="F1021"/>
      <c r="G1021"/>
    </row>
    <row r="1022" spans="6:7">
      <c r="F1022"/>
      <c r="G1022"/>
    </row>
    <row r="1023" spans="6:7">
      <c r="F1023"/>
      <c r="G1023"/>
    </row>
    <row r="1024" spans="6:7">
      <c r="F1024"/>
      <c r="G1024"/>
    </row>
    <row r="1025" spans="6:7">
      <c r="F1025"/>
      <c r="G1025"/>
    </row>
    <row r="1026" spans="6:7">
      <c r="F1026"/>
      <c r="G1026"/>
    </row>
    <row r="1027" spans="6:7">
      <c r="F1027"/>
      <c r="G1027"/>
    </row>
    <row r="1028" spans="6:7">
      <c r="F1028"/>
      <c r="G1028"/>
    </row>
    <row r="1029" spans="6:7">
      <c r="F1029"/>
      <c r="G1029"/>
    </row>
    <row r="1030" spans="6:7">
      <c r="F1030"/>
      <c r="G1030"/>
    </row>
    <row r="1031" spans="6:7">
      <c r="F1031"/>
      <c r="G1031"/>
    </row>
    <row r="1032" spans="6:7">
      <c r="F1032"/>
      <c r="G1032"/>
    </row>
    <row r="1033" spans="6:7">
      <c r="F1033"/>
      <c r="G1033"/>
    </row>
    <row r="1034" spans="6:7">
      <c r="F1034"/>
      <c r="G1034"/>
    </row>
    <row r="1035" spans="6:7">
      <c r="F1035"/>
      <c r="G1035"/>
    </row>
    <row r="1036" spans="6:7">
      <c r="F1036"/>
      <c r="G1036"/>
    </row>
    <row r="1037" spans="6:7">
      <c r="F1037"/>
      <c r="G1037"/>
    </row>
    <row r="1038" spans="6:7">
      <c r="F1038"/>
      <c r="G1038"/>
    </row>
    <row r="1039" spans="6:7">
      <c r="F1039"/>
      <c r="G1039"/>
    </row>
    <row r="1040" spans="6:7">
      <c r="F1040"/>
      <c r="G1040"/>
    </row>
    <row r="1041" spans="6:7">
      <c r="F1041"/>
      <c r="G1041"/>
    </row>
    <row r="1042" spans="6:7">
      <c r="F1042"/>
      <c r="G1042"/>
    </row>
    <row r="1043" spans="6:7">
      <c r="F1043"/>
      <c r="G1043"/>
    </row>
    <row r="1044" spans="6:7">
      <c r="F1044"/>
      <c r="G1044"/>
    </row>
    <row r="1045" spans="6:7">
      <c r="F1045"/>
      <c r="G1045"/>
    </row>
    <row r="1046" spans="6:7">
      <c r="F1046"/>
      <c r="G1046"/>
    </row>
    <row r="1047" spans="6:7">
      <c r="F1047"/>
      <c r="G1047"/>
    </row>
    <row r="1048" spans="6:7">
      <c r="F1048"/>
      <c r="G1048"/>
    </row>
    <row r="1049" spans="6:7">
      <c r="F1049"/>
      <c r="G1049"/>
    </row>
    <row r="1050" spans="6:7">
      <c r="F1050"/>
      <c r="G1050"/>
    </row>
    <row r="1051" spans="6:7">
      <c r="F1051"/>
      <c r="G1051"/>
    </row>
    <row r="1052" spans="6:7">
      <c r="F1052"/>
      <c r="G1052"/>
    </row>
    <row r="1053" spans="6:7">
      <c r="F1053"/>
      <c r="G1053"/>
    </row>
    <row r="1054" spans="6:7">
      <c r="F1054"/>
      <c r="G1054"/>
    </row>
    <row r="1055" spans="6:7">
      <c r="F1055"/>
      <c r="G1055"/>
    </row>
    <row r="1056" spans="6:7">
      <c r="F1056"/>
      <c r="G1056"/>
    </row>
    <row r="1057" spans="6:7">
      <c r="F1057"/>
      <c r="G1057"/>
    </row>
    <row r="1058" spans="6:7">
      <c r="F1058"/>
      <c r="G1058"/>
    </row>
    <row r="1059" spans="6:7">
      <c r="F1059"/>
      <c r="G1059"/>
    </row>
    <row r="1060" spans="6:7">
      <c r="F1060"/>
      <c r="G1060"/>
    </row>
    <row r="1061" spans="6:7">
      <c r="F1061"/>
      <c r="G1061"/>
    </row>
    <row r="1062" spans="6:7">
      <c r="F1062"/>
      <c r="G1062"/>
    </row>
    <row r="1063" spans="6:7">
      <c r="F1063"/>
      <c r="G1063"/>
    </row>
    <row r="1064" spans="6:7">
      <c r="F1064"/>
      <c r="G1064"/>
    </row>
    <row r="1065" spans="6:7">
      <c r="F1065"/>
      <c r="G1065"/>
    </row>
    <row r="1066" spans="6:7">
      <c r="F1066"/>
      <c r="G1066"/>
    </row>
    <row r="1067" spans="6:7">
      <c r="F1067"/>
      <c r="G1067"/>
    </row>
    <row r="1068" spans="6:7">
      <c r="F1068"/>
      <c r="G1068"/>
    </row>
    <row r="1069" spans="6:7">
      <c r="F1069"/>
      <c r="G1069"/>
    </row>
    <row r="1070" spans="6:7">
      <c r="F1070"/>
      <c r="G1070"/>
    </row>
    <row r="1071" spans="6:7">
      <c r="F1071"/>
      <c r="G1071"/>
    </row>
    <row r="1072" spans="6:7">
      <c r="F1072"/>
      <c r="G1072"/>
    </row>
    <row r="1073" spans="6:7">
      <c r="F1073"/>
      <c r="G1073"/>
    </row>
    <row r="1074" spans="6:7">
      <c r="F1074"/>
      <c r="G1074"/>
    </row>
    <row r="1075" spans="6:7">
      <c r="F1075"/>
      <c r="G1075"/>
    </row>
    <row r="1076" spans="6:7">
      <c r="F1076"/>
      <c r="G1076"/>
    </row>
    <row r="1077" spans="6:7">
      <c r="F1077"/>
      <c r="G1077"/>
    </row>
    <row r="1078" spans="6:7">
      <c r="F1078"/>
      <c r="G1078"/>
    </row>
    <row r="1079" spans="6:7">
      <c r="F1079"/>
      <c r="G1079"/>
    </row>
    <row r="1080" spans="6:7">
      <c r="F1080"/>
      <c r="G1080"/>
    </row>
    <row r="1081" spans="6:7">
      <c r="F1081"/>
      <c r="G1081"/>
    </row>
    <row r="1082" spans="6:7">
      <c r="F1082"/>
      <c r="G1082"/>
    </row>
    <row r="1083" spans="6:7">
      <c r="F1083"/>
      <c r="G1083"/>
    </row>
    <row r="1084" spans="6:7">
      <c r="F1084"/>
      <c r="G1084"/>
    </row>
    <row r="1085" spans="6:7">
      <c r="F1085"/>
      <c r="G1085"/>
    </row>
    <row r="1086" spans="6:7">
      <c r="F1086"/>
      <c r="G1086"/>
    </row>
    <row r="1087" spans="6:7">
      <c r="F1087"/>
      <c r="G1087"/>
    </row>
    <row r="1088" spans="6:7">
      <c r="F1088"/>
      <c r="G1088"/>
    </row>
    <row r="1089" spans="6:7">
      <c r="F1089"/>
      <c r="G1089"/>
    </row>
    <row r="1090" spans="6:7">
      <c r="F1090"/>
      <c r="G1090"/>
    </row>
    <row r="1091" spans="6:7">
      <c r="F1091"/>
      <c r="G1091"/>
    </row>
    <row r="1092" spans="6:7">
      <c r="F1092"/>
      <c r="G1092"/>
    </row>
    <row r="1093" spans="6:7">
      <c r="F1093"/>
      <c r="G1093"/>
    </row>
    <row r="1094" spans="6:7">
      <c r="F1094"/>
      <c r="G1094"/>
    </row>
    <row r="1095" spans="6:7">
      <c r="F1095"/>
      <c r="G1095"/>
    </row>
    <row r="1096" spans="6:7">
      <c r="F1096"/>
      <c r="G1096"/>
    </row>
    <row r="1097" spans="6:7">
      <c r="F1097"/>
      <c r="G1097"/>
    </row>
    <row r="1098" spans="6:7">
      <c r="F1098"/>
      <c r="G1098"/>
    </row>
    <row r="1099" spans="6:7">
      <c r="F1099"/>
      <c r="G1099"/>
    </row>
    <row r="1100" spans="6:7">
      <c r="F1100"/>
      <c r="G1100"/>
    </row>
    <row r="1101" spans="6:7">
      <c r="F1101"/>
      <c r="G1101"/>
    </row>
    <row r="1102" spans="6:7">
      <c r="F1102"/>
      <c r="G1102"/>
    </row>
    <row r="1103" spans="6:7">
      <c r="F1103"/>
      <c r="G1103"/>
    </row>
    <row r="1104" spans="6:7">
      <c r="F1104"/>
      <c r="G1104"/>
    </row>
    <row r="1105" spans="6:7">
      <c r="F1105"/>
      <c r="G1105"/>
    </row>
    <row r="1106" spans="6:7">
      <c r="F1106"/>
      <c r="G1106"/>
    </row>
    <row r="1107" spans="6:7">
      <c r="F1107"/>
      <c r="G1107"/>
    </row>
    <row r="1108" spans="6:7">
      <c r="F1108"/>
      <c r="G1108"/>
    </row>
    <row r="1109" spans="6:7">
      <c r="F1109"/>
      <c r="G1109"/>
    </row>
    <row r="1110" spans="6:7">
      <c r="F1110"/>
      <c r="G1110"/>
    </row>
    <row r="1111" spans="6:7">
      <c r="F1111"/>
      <c r="G1111"/>
    </row>
    <row r="1112" spans="6:7">
      <c r="F1112"/>
      <c r="G1112"/>
    </row>
    <row r="1113" spans="6:7">
      <c r="F1113"/>
      <c r="G1113"/>
    </row>
    <row r="1114" spans="6:7">
      <c r="F1114"/>
      <c r="G1114"/>
    </row>
    <row r="1115" spans="6:7">
      <c r="F1115"/>
      <c r="G1115"/>
    </row>
    <row r="1116" spans="6:7">
      <c r="F1116"/>
      <c r="G1116"/>
    </row>
    <row r="1117" spans="6:7">
      <c r="F1117"/>
      <c r="G1117"/>
    </row>
    <row r="1118" spans="6:7">
      <c r="F1118"/>
      <c r="G1118"/>
    </row>
    <row r="1119" spans="6:7">
      <c r="F1119"/>
      <c r="G1119"/>
    </row>
    <row r="1120" spans="6:7">
      <c r="F1120"/>
      <c r="G1120"/>
    </row>
    <row r="1121" spans="6:7">
      <c r="F1121"/>
      <c r="G1121"/>
    </row>
    <row r="1122" spans="6:7">
      <c r="F1122"/>
      <c r="G1122"/>
    </row>
    <row r="1123" spans="6:7">
      <c r="F1123"/>
      <c r="G1123"/>
    </row>
    <row r="1124" spans="6:7">
      <c r="F1124"/>
      <c r="G1124"/>
    </row>
    <row r="1125" spans="6:7">
      <c r="F1125"/>
      <c r="G1125"/>
    </row>
    <row r="1126" spans="6:7">
      <c r="F1126"/>
      <c r="G1126"/>
    </row>
    <row r="1127" spans="6:7">
      <c r="F1127"/>
      <c r="G1127"/>
    </row>
    <row r="1128" spans="6:7">
      <c r="F1128"/>
      <c r="G1128"/>
    </row>
    <row r="1129" spans="6:7">
      <c r="F1129"/>
      <c r="G1129"/>
    </row>
    <row r="1130" spans="6:7">
      <c r="F1130"/>
      <c r="G1130"/>
    </row>
    <row r="1131" spans="6:7">
      <c r="F1131"/>
      <c r="G1131"/>
    </row>
    <row r="1132" spans="6:7">
      <c r="F1132"/>
      <c r="G1132"/>
    </row>
    <row r="1133" spans="6:7">
      <c r="F1133"/>
      <c r="G1133"/>
    </row>
    <row r="1134" spans="6:7">
      <c r="F1134"/>
      <c r="G1134"/>
    </row>
    <row r="1135" spans="6:7">
      <c r="F1135"/>
      <c r="G1135"/>
    </row>
    <row r="1136" spans="6:7">
      <c r="F1136"/>
      <c r="G1136"/>
    </row>
    <row r="1137" spans="6:7">
      <c r="F1137"/>
      <c r="G1137"/>
    </row>
    <row r="1138" spans="6:7">
      <c r="F1138"/>
      <c r="G1138"/>
    </row>
    <row r="1139" spans="6:7">
      <c r="F1139"/>
      <c r="G1139"/>
    </row>
    <row r="1140" spans="6:7">
      <c r="F1140"/>
      <c r="G1140"/>
    </row>
    <row r="1141" spans="6:7">
      <c r="F1141"/>
      <c r="G1141"/>
    </row>
    <row r="1142" spans="6:7">
      <c r="F1142"/>
      <c r="G1142"/>
    </row>
    <row r="1143" spans="6:7">
      <c r="F1143"/>
      <c r="G1143"/>
    </row>
    <row r="1144" spans="6:7">
      <c r="F1144"/>
      <c r="G1144"/>
    </row>
    <row r="1145" spans="6:7">
      <c r="F1145"/>
      <c r="G1145"/>
    </row>
    <row r="1146" spans="6:7">
      <c r="F1146"/>
      <c r="G1146"/>
    </row>
    <row r="1147" spans="6:7">
      <c r="F1147"/>
      <c r="G1147"/>
    </row>
    <row r="1148" spans="6:7">
      <c r="F1148"/>
      <c r="G1148"/>
    </row>
    <row r="1149" spans="6:7">
      <c r="F1149"/>
      <c r="G1149"/>
    </row>
    <row r="1150" spans="6:7">
      <c r="F1150"/>
      <c r="G1150"/>
    </row>
    <row r="1151" spans="6:7">
      <c r="F1151"/>
      <c r="G1151"/>
    </row>
    <row r="1152" spans="6:7">
      <c r="F1152"/>
      <c r="G1152"/>
    </row>
    <row r="1153" spans="6:7">
      <c r="F1153"/>
      <c r="G1153"/>
    </row>
    <row r="1154" spans="6:7">
      <c r="F1154"/>
      <c r="G1154"/>
    </row>
    <row r="1155" spans="6:7">
      <c r="F1155"/>
      <c r="G1155"/>
    </row>
    <row r="1156" spans="6:7">
      <c r="F1156"/>
      <c r="G1156"/>
    </row>
    <row r="1157" spans="6:7">
      <c r="F1157"/>
      <c r="G1157"/>
    </row>
    <row r="1158" spans="6:7">
      <c r="F1158"/>
      <c r="G1158"/>
    </row>
    <row r="1159" spans="6:7">
      <c r="F1159"/>
      <c r="G1159"/>
    </row>
    <row r="1160" spans="6:7">
      <c r="F1160"/>
      <c r="G1160"/>
    </row>
    <row r="1161" spans="6:7">
      <c r="F1161"/>
      <c r="G1161"/>
    </row>
    <row r="1162" spans="6:7">
      <c r="F1162"/>
      <c r="G1162"/>
    </row>
    <row r="1163" spans="6:7">
      <c r="F1163"/>
      <c r="G1163"/>
    </row>
    <row r="1164" spans="6:7">
      <c r="F1164"/>
      <c r="G1164"/>
    </row>
    <row r="1165" spans="6:7">
      <c r="F1165"/>
      <c r="G1165"/>
    </row>
    <row r="1166" spans="6:7">
      <c r="F1166"/>
      <c r="G1166"/>
    </row>
    <row r="1167" spans="6:7">
      <c r="F1167"/>
      <c r="G1167"/>
    </row>
    <row r="1168" spans="6:7">
      <c r="F1168"/>
      <c r="G1168"/>
    </row>
    <row r="1169" spans="6:7">
      <c r="F1169"/>
      <c r="G1169"/>
    </row>
    <row r="1170" spans="6:7">
      <c r="F1170"/>
      <c r="G1170"/>
    </row>
    <row r="1171" spans="6:7">
      <c r="F1171"/>
      <c r="G1171"/>
    </row>
    <row r="1172" spans="6:7">
      <c r="F1172"/>
      <c r="G1172"/>
    </row>
    <row r="1173" spans="6:7">
      <c r="F1173"/>
      <c r="G1173"/>
    </row>
    <row r="1174" spans="6:7">
      <c r="F1174"/>
      <c r="G1174"/>
    </row>
    <row r="1175" spans="6:7">
      <c r="F1175"/>
      <c r="G1175"/>
    </row>
    <row r="1176" spans="6:7">
      <c r="F1176"/>
      <c r="G1176"/>
    </row>
    <row r="1177" spans="6:7">
      <c r="F1177"/>
      <c r="G1177"/>
    </row>
    <row r="1178" spans="6:7">
      <c r="F1178"/>
      <c r="G1178"/>
    </row>
    <row r="1179" spans="6:7">
      <c r="F1179"/>
      <c r="G1179"/>
    </row>
    <row r="1180" spans="6:7">
      <c r="F1180"/>
      <c r="G1180"/>
    </row>
    <row r="1181" spans="6:7">
      <c r="F1181"/>
      <c r="G1181"/>
    </row>
    <row r="1182" spans="6:7">
      <c r="F1182"/>
      <c r="G1182"/>
    </row>
    <row r="1183" spans="6:7">
      <c r="F1183"/>
      <c r="G1183"/>
    </row>
    <row r="1184" spans="6:7">
      <c r="F1184"/>
      <c r="G1184"/>
    </row>
    <row r="1185" spans="6:7">
      <c r="F1185"/>
      <c r="G1185"/>
    </row>
    <row r="1186" spans="6:7">
      <c r="F1186"/>
      <c r="G1186"/>
    </row>
    <row r="1187" spans="6:7">
      <c r="F1187"/>
      <c r="G1187"/>
    </row>
    <row r="1188" spans="6:7">
      <c r="F1188"/>
      <c r="G1188"/>
    </row>
    <row r="1189" spans="6:7">
      <c r="F1189"/>
      <c r="G1189"/>
    </row>
    <row r="1190" spans="6:7">
      <c r="F1190"/>
      <c r="G1190"/>
    </row>
    <row r="1191" spans="6:7">
      <c r="F1191"/>
      <c r="G1191"/>
    </row>
    <row r="1192" spans="6:7">
      <c r="F1192"/>
      <c r="G1192"/>
    </row>
    <row r="1193" spans="6:7">
      <c r="F1193"/>
      <c r="G1193"/>
    </row>
    <row r="1194" spans="6:7">
      <c r="F1194"/>
      <c r="G1194"/>
    </row>
    <row r="1195" spans="6:7">
      <c r="F1195"/>
      <c r="G1195"/>
    </row>
    <row r="1196" spans="6:7">
      <c r="F1196"/>
      <c r="G1196"/>
    </row>
    <row r="1197" spans="6:7">
      <c r="F1197"/>
      <c r="G1197"/>
    </row>
    <row r="1198" spans="6:7">
      <c r="F1198"/>
      <c r="G1198"/>
    </row>
    <row r="1199" spans="6:7">
      <c r="F1199"/>
      <c r="G1199"/>
    </row>
    <row r="1200" spans="6:7">
      <c r="F1200"/>
      <c r="G1200"/>
    </row>
    <row r="1201" spans="6:7">
      <c r="F1201"/>
      <c r="G1201"/>
    </row>
    <row r="1202" spans="6:7">
      <c r="F1202"/>
      <c r="G1202"/>
    </row>
    <row r="1203" spans="6:7">
      <c r="F1203"/>
      <c r="G1203"/>
    </row>
    <row r="1204" spans="6:7">
      <c r="F1204"/>
      <c r="G1204"/>
    </row>
    <row r="1205" spans="6:7">
      <c r="F1205"/>
      <c r="G1205"/>
    </row>
    <row r="1206" spans="6:7">
      <c r="F1206"/>
      <c r="G1206"/>
    </row>
    <row r="1207" spans="6:7">
      <c r="F1207"/>
      <c r="G1207"/>
    </row>
    <row r="1208" spans="6:7">
      <c r="F1208"/>
      <c r="G1208"/>
    </row>
    <row r="1209" spans="6:7">
      <c r="F1209"/>
      <c r="G1209"/>
    </row>
    <row r="1210" spans="6:7">
      <c r="F1210"/>
      <c r="G1210"/>
    </row>
    <row r="1211" spans="6:7">
      <c r="F1211"/>
      <c r="G1211"/>
    </row>
    <row r="1212" spans="6:7">
      <c r="F1212"/>
      <c r="G1212"/>
    </row>
    <row r="1213" spans="6:7">
      <c r="F1213"/>
      <c r="G1213"/>
    </row>
    <row r="1214" spans="6:7">
      <c r="F1214"/>
      <c r="G1214"/>
    </row>
    <row r="1215" spans="6:7">
      <c r="F1215"/>
      <c r="G1215"/>
    </row>
    <row r="1216" spans="6:7">
      <c r="F1216"/>
      <c r="G1216"/>
    </row>
    <row r="1217" spans="6:7">
      <c r="F1217"/>
      <c r="G1217"/>
    </row>
    <row r="1218" spans="6:7">
      <c r="F1218"/>
      <c r="G1218"/>
    </row>
    <row r="1219" spans="6:7">
      <c r="F1219"/>
      <c r="G1219"/>
    </row>
    <row r="1220" spans="6:7">
      <c r="F1220"/>
      <c r="G1220"/>
    </row>
    <row r="1221" spans="6:7">
      <c r="F1221"/>
      <c r="G1221"/>
    </row>
    <row r="1222" spans="6:7">
      <c r="F1222"/>
      <c r="G1222"/>
    </row>
    <row r="1223" spans="6:7">
      <c r="F1223"/>
      <c r="G1223"/>
    </row>
    <row r="1224" spans="6:7">
      <c r="F1224"/>
      <c r="G1224"/>
    </row>
    <row r="1225" spans="6:7">
      <c r="F1225"/>
      <c r="G1225"/>
    </row>
    <row r="1226" spans="6:7">
      <c r="F1226"/>
      <c r="G1226"/>
    </row>
    <row r="1227" spans="6:7">
      <c r="F1227"/>
      <c r="G1227"/>
    </row>
    <row r="1228" spans="6:7">
      <c r="F1228"/>
      <c r="G1228"/>
    </row>
    <row r="1229" spans="6:7">
      <c r="F1229"/>
      <c r="G1229"/>
    </row>
    <row r="1230" spans="6:7">
      <c r="F1230"/>
      <c r="G1230"/>
    </row>
    <row r="1231" spans="6:7">
      <c r="F1231"/>
      <c r="G1231"/>
    </row>
    <row r="1232" spans="6:7">
      <c r="F1232"/>
      <c r="G1232"/>
    </row>
    <row r="1233" spans="6:7">
      <c r="F1233"/>
      <c r="G1233"/>
    </row>
    <row r="1234" spans="6:7">
      <c r="F1234"/>
      <c r="G1234"/>
    </row>
    <row r="1235" spans="6:7">
      <c r="F1235"/>
      <c r="G1235"/>
    </row>
    <row r="1236" spans="6:7">
      <c r="F1236"/>
      <c r="G1236"/>
    </row>
    <row r="1237" spans="6:7">
      <c r="F1237"/>
      <c r="G1237"/>
    </row>
    <row r="1238" spans="6:7">
      <c r="F1238"/>
      <c r="G1238"/>
    </row>
    <row r="1239" spans="6:7">
      <c r="F1239"/>
      <c r="G1239"/>
    </row>
    <row r="1240" spans="6:7">
      <c r="F1240"/>
      <c r="G1240"/>
    </row>
    <row r="1241" spans="6:7">
      <c r="F1241"/>
      <c r="G1241"/>
    </row>
    <row r="1242" spans="6:7">
      <c r="F1242"/>
      <c r="G1242"/>
    </row>
    <row r="1243" spans="6:7">
      <c r="F1243"/>
      <c r="G1243"/>
    </row>
    <row r="1244" spans="6:7">
      <c r="F1244"/>
      <c r="G1244"/>
    </row>
    <row r="1245" spans="6:7">
      <c r="F1245"/>
      <c r="G1245"/>
    </row>
    <row r="1246" spans="6:7">
      <c r="F1246"/>
      <c r="G1246"/>
    </row>
    <row r="1247" spans="6:7">
      <c r="F1247"/>
      <c r="G1247"/>
    </row>
    <row r="1248" spans="6:7">
      <c r="F1248"/>
      <c r="G1248"/>
    </row>
    <row r="1249" spans="6:7">
      <c r="F1249"/>
      <c r="G1249"/>
    </row>
    <row r="1250" spans="6:7">
      <c r="F1250"/>
      <c r="G1250"/>
    </row>
    <row r="1251" spans="6:7">
      <c r="F1251"/>
      <c r="G1251"/>
    </row>
    <row r="1252" spans="6:7">
      <c r="F1252"/>
      <c r="G1252"/>
    </row>
    <row r="1253" spans="6:7">
      <c r="F1253"/>
      <c r="G1253"/>
    </row>
    <row r="1254" spans="6:7">
      <c r="F1254"/>
      <c r="G1254"/>
    </row>
    <row r="1255" spans="6:7">
      <c r="F1255"/>
      <c r="G1255"/>
    </row>
    <row r="1256" spans="6:7">
      <c r="F1256"/>
      <c r="G1256"/>
    </row>
    <row r="1257" spans="6:7">
      <c r="F1257"/>
      <c r="G1257"/>
    </row>
    <row r="1258" spans="6:7">
      <c r="F1258"/>
      <c r="G1258"/>
    </row>
    <row r="1259" spans="6:7">
      <c r="F1259"/>
      <c r="G1259"/>
    </row>
    <row r="1260" spans="6:7">
      <c r="F1260"/>
      <c r="G1260"/>
    </row>
    <row r="1261" spans="6:7">
      <c r="F1261"/>
      <c r="G1261"/>
    </row>
    <row r="1262" spans="6:7">
      <c r="F1262"/>
      <c r="G1262"/>
    </row>
    <row r="1263" spans="6:7">
      <c r="F1263"/>
      <c r="G1263"/>
    </row>
    <row r="1264" spans="6:7">
      <c r="F1264"/>
      <c r="G1264"/>
    </row>
    <row r="1265" spans="6:7">
      <c r="F1265"/>
      <c r="G1265"/>
    </row>
    <row r="1266" spans="6:7">
      <c r="F1266"/>
      <c r="G1266"/>
    </row>
    <row r="1267" spans="6:7">
      <c r="F1267"/>
      <c r="G1267"/>
    </row>
    <row r="1268" spans="6:7">
      <c r="F1268"/>
      <c r="G1268"/>
    </row>
    <row r="1269" spans="6:7">
      <c r="F1269"/>
      <c r="G1269"/>
    </row>
    <row r="1270" spans="6:7">
      <c r="F1270"/>
      <c r="G1270"/>
    </row>
    <row r="1271" spans="6:7">
      <c r="F1271"/>
      <c r="G1271"/>
    </row>
    <row r="1272" spans="6:7">
      <c r="F1272"/>
      <c r="G1272"/>
    </row>
    <row r="1273" spans="6:7">
      <c r="F1273"/>
      <c r="G1273"/>
    </row>
    <row r="1274" spans="6:7">
      <c r="F1274"/>
      <c r="G1274"/>
    </row>
    <row r="1275" spans="6:7">
      <c r="F1275"/>
      <c r="G1275"/>
    </row>
    <row r="1276" spans="6:7">
      <c r="F1276"/>
      <c r="G1276"/>
    </row>
    <row r="1277" spans="6:7">
      <c r="F1277"/>
      <c r="G1277"/>
    </row>
    <row r="1278" spans="6:7">
      <c r="F1278"/>
      <c r="G1278"/>
    </row>
    <row r="1279" spans="6:7">
      <c r="F1279"/>
      <c r="G1279"/>
    </row>
    <row r="1280" spans="6:7">
      <c r="F1280"/>
      <c r="G1280"/>
    </row>
    <row r="1281" spans="6:7">
      <c r="F1281"/>
      <c r="G1281"/>
    </row>
    <row r="1282" spans="6:7">
      <c r="F1282"/>
      <c r="G1282"/>
    </row>
    <row r="1283" spans="6:7">
      <c r="F1283"/>
      <c r="G1283"/>
    </row>
    <row r="1284" spans="6:7">
      <c r="F1284"/>
      <c r="G1284"/>
    </row>
    <row r="1285" spans="6:7">
      <c r="F1285"/>
      <c r="G1285"/>
    </row>
    <row r="1286" spans="6:7">
      <c r="F1286"/>
      <c r="G1286"/>
    </row>
    <row r="1287" spans="6:7">
      <c r="F1287"/>
      <c r="G1287"/>
    </row>
    <row r="1288" spans="6:7">
      <c r="F1288"/>
      <c r="G1288"/>
    </row>
    <row r="1289" spans="6:7">
      <c r="F1289"/>
      <c r="G1289"/>
    </row>
    <row r="1290" spans="6:7">
      <c r="F1290"/>
      <c r="G1290"/>
    </row>
    <row r="1291" spans="6:7">
      <c r="F1291"/>
      <c r="G1291"/>
    </row>
    <row r="1292" spans="6:7">
      <c r="F1292"/>
      <c r="G1292"/>
    </row>
    <row r="1293" spans="6:7">
      <c r="F1293"/>
      <c r="G1293"/>
    </row>
    <row r="1294" spans="6:7">
      <c r="F1294"/>
      <c r="G1294"/>
    </row>
    <row r="1295" spans="6:7">
      <c r="F1295"/>
      <c r="G1295"/>
    </row>
    <row r="1296" spans="6:7">
      <c r="F1296"/>
      <c r="G1296"/>
    </row>
    <row r="1297" spans="6:7">
      <c r="F1297"/>
      <c r="G1297"/>
    </row>
    <row r="1298" spans="6:7">
      <c r="F1298"/>
      <c r="G1298"/>
    </row>
    <row r="1299" spans="6:7">
      <c r="F1299"/>
      <c r="G1299"/>
    </row>
    <row r="1300" spans="6:7">
      <c r="F1300"/>
      <c r="G1300"/>
    </row>
    <row r="1301" spans="6:7">
      <c r="F1301"/>
      <c r="G1301"/>
    </row>
    <row r="1302" spans="6:7">
      <c r="F1302"/>
      <c r="G1302"/>
    </row>
    <row r="1303" spans="6:7">
      <c r="F1303"/>
      <c r="G1303"/>
    </row>
    <row r="1304" spans="6:7">
      <c r="F1304"/>
      <c r="G1304"/>
    </row>
    <row r="1305" spans="6:7">
      <c r="F1305"/>
      <c r="G1305"/>
    </row>
    <row r="1306" spans="6:7">
      <c r="F1306"/>
      <c r="G1306"/>
    </row>
    <row r="1307" spans="6:7">
      <c r="F1307"/>
      <c r="G1307"/>
    </row>
    <row r="1308" spans="6:7">
      <c r="F1308"/>
      <c r="G1308"/>
    </row>
    <row r="1309" spans="6:7">
      <c r="F1309"/>
      <c r="G1309"/>
    </row>
    <row r="1310" spans="6:7">
      <c r="F1310"/>
      <c r="G1310"/>
    </row>
    <row r="1311" spans="6:7">
      <c r="F1311"/>
      <c r="G1311"/>
    </row>
    <row r="1312" spans="6:7">
      <c r="F1312"/>
      <c r="G1312"/>
    </row>
    <row r="1313" spans="6:7">
      <c r="F1313"/>
      <c r="G1313"/>
    </row>
    <row r="1314" spans="6:7">
      <c r="F1314"/>
      <c r="G1314"/>
    </row>
    <row r="1315" spans="6:7">
      <c r="F1315"/>
      <c r="G1315"/>
    </row>
    <row r="1316" spans="6:7">
      <c r="F1316"/>
      <c r="G1316"/>
    </row>
    <row r="1317" spans="6:7">
      <c r="F1317"/>
      <c r="G1317"/>
    </row>
    <row r="1318" spans="6:7">
      <c r="F1318"/>
      <c r="G1318"/>
    </row>
    <row r="1319" spans="6:7">
      <c r="F1319"/>
      <c r="G1319"/>
    </row>
    <row r="1320" spans="6:7">
      <c r="F1320"/>
      <c r="G1320"/>
    </row>
    <row r="1321" spans="6:7">
      <c r="F1321"/>
      <c r="G1321"/>
    </row>
    <row r="1322" spans="6:7">
      <c r="F1322"/>
      <c r="G1322"/>
    </row>
    <row r="1323" spans="6:7">
      <c r="F1323"/>
      <c r="G1323"/>
    </row>
    <row r="1324" spans="6:7">
      <c r="F1324"/>
      <c r="G1324"/>
    </row>
    <row r="1325" spans="6:7">
      <c r="F1325"/>
      <c r="G1325"/>
    </row>
    <row r="1326" spans="6:7">
      <c r="F1326"/>
      <c r="G1326"/>
    </row>
    <row r="1327" spans="6:7">
      <c r="F1327"/>
      <c r="G1327"/>
    </row>
    <row r="1328" spans="6:7">
      <c r="F1328"/>
      <c r="G1328"/>
    </row>
    <row r="1329" spans="6:7">
      <c r="F1329"/>
      <c r="G1329"/>
    </row>
    <row r="1330" spans="6:7">
      <c r="F1330"/>
      <c r="G1330"/>
    </row>
    <row r="1331" spans="6:7">
      <c r="F1331"/>
      <c r="G1331"/>
    </row>
    <row r="1332" spans="6:7">
      <c r="F1332"/>
      <c r="G1332"/>
    </row>
    <row r="1333" spans="6:7">
      <c r="F1333"/>
      <c r="G1333"/>
    </row>
    <row r="1334" spans="6:7">
      <c r="F1334"/>
      <c r="G1334"/>
    </row>
    <row r="1335" spans="6:7">
      <c r="F1335"/>
      <c r="G1335"/>
    </row>
    <row r="1336" spans="6:7">
      <c r="F1336"/>
      <c r="G1336"/>
    </row>
    <row r="1337" spans="6:7">
      <c r="F1337"/>
      <c r="G1337"/>
    </row>
    <row r="1338" spans="6:7">
      <c r="F1338"/>
      <c r="G1338"/>
    </row>
    <row r="1339" spans="6:7">
      <c r="F1339"/>
      <c r="G1339"/>
    </row>
    <row r="1340" spans="6:7">
      <c r="F1340"/>
      <c r="G1340"/>
    </row>
    <row r="1341" spans="6:7">
      <c r="F1341"/>
      <c r="G1341"/>
    </row>
    <row r="1342" spans="6:7">
      <c r="F1342"/>
      <c r="G1342"/>
    </row>
    <row r="1343" spans="6:7">
      <c r="F1343"/>
      <c r="G1343"/>
    </row>
    <row r="1344" spans="6:7">
      <c r="F1344"/>
      <c r="G1344"/>
    </row>
    <row r="1345" spans="6:7">
      <c r="F1345"/>
      <c r="G1345"/>
    </row>
    <row r="1346" spans="6:7">
      <c r="F1346"/>
      <c r="G1346"/>
    </row>
    <row r="1347" spans="6:7">
      <c r="F1347"/>
      <c r="G1347"/>
    </row>
    <row r="1348" spans="6:7">
      <c r="F1348"/>
      <c r="G1348"/>
    </row>
    <row r="1349" spans="6:7">
      <c r="F1349"/>
      <c r="G1349"/>
    </row>
    <row r="1350" spans="6:7">
      <c r="F1350"/>
      <c r="G1350"/>
    </row>
    <row r="1351" spans="6:7">
      <c r="F1351"/>
      <c r="G1351"/>
    </row>
    <row r="1352" spans="6:7">
      <c r="F1352"/>
      <c r="G1352"/>
    </row>
    <row r="1353" spans="6:7">
      <c r="F1353"/>
      <c r="G1353"/>
    </row>
    <row r="1354" spans="6:7">
      <c r="F1354"/>
      <c r="G1354"/>
    </row>
    <row r="1355" spans="6:7">
      <c r="F1355"/>
      <c r="G1355"/>
    </row>
    <row r="1356" spans="6:7">
      <c r="F1356"/>
      <c r="G1356"/>
    </row>
    <row r="1357" spans="6:7">
      <c r="F1357"/>
      <c r="G1357"/>
    </row>
    <row r="1358" spans="6:7">
      <c r="F1358"/>
      <c r="G1358"/>
    </row>
    <row r="1359" spans="6:7">
      <c r="F1359"/>
      <c r="G1359"/>
    </row>
    <row r="1360" spans="6:7">
      <c r="F1360"/>
      <c r="G1360"/>
    </row>
    <row r="1361" spans="6:7">
      <c r="F1361"/>
      <c r="G1361"/>
    </row>
    <row r="1362" spans="6:7">
      <c r="F1362"/>
      <c r="G1362"/>
    </row>
    <row r="1363" spans="6:7">
      <c r="F1363"/>
      <c r="G1363"/>
    </row>
    <row r="1364" spans="6:7">
      <c r="F1364"/>
      <c r="G1364"/>
    </row>
    <row r="1365" spans="6:7">
      <c r="F1365"/>
      <c r="G1365"/>
    </row>
    <row r="1366" spans="6:7">
      <c r="F1366"/>
      <c r="G1366"/>
    </row>
    <row r="1367" spans="6:7">
      <c r="F1367"/>
      <c r="G1367"/>
    </row>
    <row r="1368" spans="6:7">
      <c r="F1368"/>
      <c r="G1368"/>
    </row>
    <row r="1369" spans="6:7">
      <c r="F1369"/>
      <c r="G1369"/>
    </row>
    <row r="1370" spans="6:7">
      <c r="F1370"/>
      <c r="G1370"/>
    </row>
    <row r="1371" spans="6:7">
      <c r="F1371"/>
      <c r="G1371"/>
    </row>
    <row r="1372" spans="6:7">
      <c r="F1372"/>
      <c r="G1372"/>
    </row>
    <row r="1373" spans="6:7">
      <c r="F1373"/>
      <c r="G1373"/>
    </row>
    <row r="1374" spans="6:7">
      <c r="F1374"/>
      <c r="G1374"/>
    </row>
    <row r="1375" spans="6:7">
      <c r="F1375"/>
      <c r="G1375"/>
    </row>
    <row r="1376" spans="6:7">
      <c r="F1376"/>
      <c r="G1376"/>
    </row>
    <row r="1377" spans="6:7">
      <c r="F1377"/>
      <c r="G1377"/>
    </row>
    <row r="1378" spans="6:7">
      <c r="F1378"/>
      <c r="G1378"/>
    </row>
    <row r="1379" spans="6:7">
      <c r="F1379"/>
      <c r="G1379"/>
    </row>
    <row r="1380" spans="6:7">
      <c r="F1380"/>
      <c r="G1380"/>
    </row>
    <row r="1381" spans="6:7">
      <c r="F1381"/>
      <c r="G1381"/>
    </row>
    <row r="1382" spans="6:7">
      <c r="F1382"/>
      <c r="G1382"/>
    </row>
    <row r="1383" spans="6:7">
      <c r="F1383"/>
      <c r="G1383"/>
    </row>
    <row r="1384" spans="6:7">
      <c r="F1384"/>
      <c r="G1384"/>
    </row>
    <row r="1385" spans="6:7">
      <c r="F1385"/>
      <c r="G1385"/>
    </row>
    <row r="1386" spans="6:7">
      <c r="F1386"/>
      <c r="G1386"/>
    </row>
    <row r="1387" spans="6:7">
      <c r="F1387"/>
      <c r="G1387"/>
    </row>
    <row r="1388" spans="6:7">
      <c r="F1388"/>
      <c r="G1388"/>
    </row>
    <row r="1389" spans="6:7">
      <c r="F1389"/>
      <c r="G1389"/>
    </row>
    <row r="1390" spans="6:7">
      <c r="F1390"/>
      <c r="G1390"/>
    </row>
    <row r="1391" spans="6:7">
      <c r="F1391"/>
      <c r="G1391"/>
    </row>
    <row r="1392" spans="6:7">
      <c r="F1392"/>
      <c r="G1392"/>
    </row>
    <row r="1393" spans="6:7">
      <c r="F1393"/>
      <c r="G1393"/>
    </row>
    <row r="1394" spans="6:7">
      <c r="F1394"/>
      <c r="G1394"/>
    </row>
    <row r="1395" spans="6:7">
      <c r="F1395"/>
      <c r="G1395"/>
    </row>
    <row r="1396" spans="6:7">
      <c r="F1396"/>
      <c r="G1396"/>
    </row>
    <row r="1397" spans="6:7">
      <c r="F1397"/>
      <c r="G1397"/>
    </row>
    <row r="1398" spans="6:7">
      <c r="F1398"/>
      <c r="G1398"/>
    </row>
    <row r="1399" spans="6:7">
      <c r="F1399"/>
      <c r="G1399"/>
    </row>
    <row r="1400" spans="6:7">
      <c r="F1400"/>
      <c r="G1400"/>
    </row>
    <row r="1401" spans="6:7">
      <c r="F1401"/>
      <c r="G1401"/>
    </row>
    <row r="1402" spans="6:7">
      <c r="F1402"/>
      <c r="G1402"/>
    </row>
    <row r="1403" spans="6:7">
      <c r="F1403"/>
      <c r="G1403"/>
    </row>
    <row r="1404" spans="6:7">
      <c r="F1404"/>
      <c r="G1404"/>
    </row>
    <row r="1405" spans="6:7">
      <c r="F1405"/>
      <c r="G1405"/>
    </row>
    <row r="1406" spans="6:7">
      <c r="F1406"/>
      <c r="G1406"/>
    </row>
    <row r="1407" spans="6:7">
      <c r="F1407"/>
      <c r="G1407"/>
    </row>
    <row r="1408" spans="6:7">
      <c r="F1408"/>
      <c r="G1408"/>
    </row>
    <row r="1409" spans="6:7">
      <c r="F1409"/>
      <c r="G1409"/>
    </row>
    <row r="1410" spans="6:7">
      <c r="F1410"/>
      <c r="G1410"/>
    </row>
    <row r="1411" spans="6:7">
      <c r="F1411"/>
      <c r="G1411"/>
    </row>
    <row r="1412" spans="6:7">
      <c r="F1412"/>
      <c r="G1412"/>
    </row>
    <row r="1413" spans="6:7">
      <c r="F1413"/>
      <c r="G1413"/>
    </row>
    <row r="1414" spans="6:7">
      <c r="F1414"/>
      <c r="G1414"/>
    </row>
    <row r="1415" spans="6:7">
      <c r="F1415"/>
      <c r="G1415"/>
    </row>
    <row r="1416" spans="6:7">
      <c r="F1416"/>
      <c r="G1416"/>
    </row>
    <row r="1417" spans="6:7">
      <c r="F1417"/>
      <c r="G1417"/>
    </row>
    <row r="1418" spans="6:7">
      <c r="F1418"/>
      <c r="G1418"/>
    </row>
    <row r="1419" spans="6:7">
      <c r="F1419"/>
      <c r="G1419"/>
    </row>
    <row r="1420" spans="6:7">
      <c r="F1420"/>
      <c r="G1420"/>
    </row>
    <row r="1421" spans="6:7">
      <c r="F1421"/>
      <c r="G1421"/>
    </row>
    <row r="1422" spans="6:7">
      <c r="F1422"/>
      <c r="G1422"/>
    </row>
    <row r="1423" spans="6:7">
      <c r="F1423"/>
      <c r="G1423"/>
    </row>
    <row r="1424" spans="6:7">
      <c r="F1424"/>
      <c r="G1424"/>
    </row>
    <row r="1425" spans="6:7">
      <c r="F1425"/>
      <c r="G1425"/>
    </row>
    <row r="1426" spans="6:7">
      <c r="F1426"/>
      <c r="G1426"/>
    </row>
    <row r="1427" spans="6:7">
      <c r="F1427"/>
      <c r="G1427"/>
    </row>
    <row r="1428" spans="6:7">
      <c r="F1428"/>
      <c r="G1428"/>
    </row>
    <row r="1429" spans="6:7">
      <c r="F1429"/>
      <c r="G1429"/>
    </row>
    <row r="1430" spans="6:7">
      <c r="F1430"/>
      <c r="G1430"/>
    </row>
    <row r="1431" spans="6:7">
      <c r="F1431"/>
      <c r="G1431"/>
    </row>
    <row r="1432" spans="6:7">
      <c r="F1432"/>
      <c r="G1432"/>
    </row>
    <row r="1433" spans="6:7">
      <c r="F1433"/>
      <c r="G1433"/>
    </row>
    <row r="1434" spans="6:7">
      <c r="F1434"/>
      <c r="G1434"/>
    </row>
    <row r="1435" spans="6:7">
      <c r="F1435"/>
      <c r="G1435"/>
    </row>
    <row r="1436" spans="6:7">
      <c r="F1436"/>
      <c r="G1436"/>
    </row>
    <row r="1437" spans="6:7">
      <c r="F1437"/>
      <c r="G1437"/>
    </row>
    <row r="1438" spans="6:7">
      <c r="F1438"/>
      <c r="G1438"/>
    </row>
    <row r="1439" spans="6:7">
      <c r="F1439"/>
      <c r="G1439"/>
    </row>
    <row r="1440" spans="6:7">
      <c r="F1440"/>
      <c r="G1440"/>
    </row>
    <row r="1441" spans="6:7">
      <c r="F1441"/>
      <c r="G1441"/>
    </row>
    <row r="1442" spans="6:7">
      <c r="F1442"/>
      <c r="G1442"/>
    </row>
    <row r="1443" spans="6:7">
      <c r="F1443"/>
      <c r="G1443"/>
    </row>
    <row r="1444" spans="6:7">
      <c r="F1444"/>
      <c r="G1444"/>
    </row>
    <row r="1445" spans="6:7">
      <c r="F1445"/>
      <c r="G1445"/>
    </row>
    <row r="1446" spans="6:7">
      <c r="F1446"/>
      <c r="G1446"/>
    </row>
    <row r="1447" spans="6:7">
      <c r="F1447"/>
      <c r="G1447"/>
    </row>
    <row r="1448" spans="6:7">
      <c r="F1448"/>
      <c r="G1448"/>
    </row>
    <row r="1449" spans="6:7">
      <c r="F1449"/>
      <c r="G1449"/>
    </row>
    <row r="1450" spans="6:7">
      <c r="F1450"/>
      <c r="G1450"/>
    </row>
    <row r="1451" spans="6:7">
      <c r="F1451"/>
      <c r="G1451"/>
    </row>
    <row r="1452" spans="6:7">
      <c r="F1452"/>
      <c r="G1452"/>
    </row>
    <row r="1453" spans="6:7">
      <c r="F1453"/>
      <c r="G1453"/>
    </row>
    <row r="1454" spans="6:7">
      <c r="F1454"/>
      <c r="G1454"/>
    </row>
    <row r="1455" spans="6:7">
      <c r="F1455"/>
      <c r="G1455"/>
    </row>
    <row r="1456" spans="6:7">
      <c r="F1456"/>
      <c r="G1456"/>
    </row>
    <row r="1457" spans="6:7">
      <c r="F1457"/>
      <c r="G1457"/>
    </row>
    <row r="1458" spans="6:7">
      <c r="F1458"/>
      <c r="G1458"/>
    </row>
    <row r="1459" spans="6:7">
      <c r="F1459"/>
      <c r="G1459"/>
    </row>
    <row r="1460" spans="6:7">
      <c r="F1460"/>
      <c r="G1460"/>
    </row>
    <row r="1461" spans="6:7">
      <c r="F1461"/>
      <c r="G1461"/>
    </row>
    <row r="1462" spans="6:7">
      <c r="F1462"/>
      <c r="G1462"/>
    </row>
    <row r="1463" spans="6:7">
      <c r="F1463"/>
      <c r="G1463"/>
    </row>
    <row r="1464" spans="6:7">
      <c r="F1464"/>
      <c r="G1464"/>
    </row>
    <row r="1465" spans="6:7">
      <c r="F1465"/>
      <c r="G1465"/>
    </row>
    <row r="1466" spans="6:7">
      <c r="F1466"/>
      <c r="G1466"/>
    </row>
    <row r="1467" spans="6:7">
      <c r="F1467"/>
      <c r="G1467"/>
    </row>
    <row r="1468" spans="6:7">
      <c r="F1468"/>
      <c r="G1468"/>
    </row>
    <row r="1469" spans="6:7">
      <c r="F1469"/>
      <c r="G1469"/>
    </row>
    <row r="1470" spans="6:7">
      <c r="F1470"/>
      <c r="G1470"/>
    </row>
    <row r="1471" spans="6:7">
      <c r="F1471"/>
      <c r="G1471"/>
    </row>
    <row r="1472" spans="6:7">
      <c r="F1472"/>
      <c r="G1472"/>
    </row>
    <row r="1473" spans="6:7">
      <c r="F1473"/>
      <c r="G1473"/>
    </row>
    <row r="1474" spans="6:7">
      <c r="F1474"/>
      <c r="G1474"/>
    </row>
    <row r="1475" spans="6:7">
      <c r="F1475"/>
      <c r="G1475"/>
    </row>
    <row r="1476" spans="6:7">
      <c r="F1476"/>
      <c r="G1476"/>
    </row>
    <row r="1477" spans="6:7">
      <c r="F1477"/>
      <c r="G1477"/>
    </row>
    <row r="1478" spans="6:7">
      <c r="F1478"/>
      <c r="G1478"/>
    </row>
    <row r="1479" spans="6:7">
      <c r="F1479"/>
      <c r="G1479"/>
    </row>
    <row r="1480" spans="6:7">
      <c r="F1480"/>
      <c r="G1480"/>
    </row>
    <row r="1481" spans="6:7">
      <c r="F1481"/>
      <c r="G1481"/>
    </row>
    <row r="1482" spans="6:7">
      <c r="F1482"/>
      <c r="G1482"/>
    </row>
    <row r="1483" spans="6:7">
      <c r="F1483"/>
      <c r="G1483"/>
    </row>
    <row r="1484" spans="6:7">
      <c r="F1484"/>
      <c r="G1484"/>
    </row>
    <row r="1485" spans="6:7">
      <c r="F1485"/>
      <c r="G1485"/>
    </row>
    <row r="1486" spans="6:7">
      <c r="F1486"/>
      <c r="G1486"/>
    </row>
    <row r="1487" spans="6:7">
      <c r="F1487"/>
      <c r="G1487"/>
    </row>
    <row r="1488" spans="6:7">
      <c r="F1488"/>
      <c r="G1488"/>
    </row>
    <row r="1489" spans="6:7">
      <c r="F1489"/>
      <c r="G1489"/>
    </row>
    <row r="1490" spans="6:7">
      <c r="F1490"/>
      <c r="G1490"/>
    </row>
    <row r="1491" spans="6:7">
      <c r="F1491"/>
      <c r="G1491"/>
    </row>
    <row r="1492" spans="6:7">
      <c r="F1492"/>
      <c r="G1492"/>
    </row>
    <row r="1493" spans="6:7">
      <c r="F1493"/>
      <c r="G1493"/>
    </row>
    <row r="1494" spans="6:7">
      <c r="F1494"/>
      <c r="G1494"/>
    </row>
    <row r="1495" spans="6:7">
      <c r="F1495"/>
      <c r="G1495"/>
    </row>
    <row r="1496" spans="6:7">
      <c r="F1496"/>
      <c r="G1496"/>
    </row>
    <row r="1497" spans="6:7">
      <c r="F1497"/>
      <c r="G1497"/>
    </row>
    <row r="1498" spans="6:7">
      <c r="F1498"/>
      <c r="G1498"/>
    </row>
    <row r="1499" spans="6:7">
      <c r="F1499"/>
      <c r="G1499"/>
    </row>
    <row r="1500" spans="6:7">
      <c r="F1500"/>
      <c r="G1500"/>
    </row>
    <row r="1501" spans="6:7">
      <c r="F1501"/>
      <c r="G1501"/>
    </row>
    <row r="1502" spans="6:7">
      <c r="F1502"/>
      <c r="G1502"/>
    </row>
    <row r="1503" spans="6:7">
      <c r="F1503"/>
      <c r="G1503"/>
    </row>
    <row r="1504" spans="6:7">
      <c r="F1504"/>
      <c r="G1504"/>
    </row>
    <row r="1505" spans="6:7">
      <c r="F1505"/>
      <c r="G1505"/>
    </row>
    <row r="1506" spans="6:7">
      <c r="F1506"/>
      <c r="G1506"/>
    </row>
    <row r="1507" spans="6:7">
      <c r="F1507"/>
      <c r="G1507"/>
    </row>
    <row r="1508" spans="6:7">
      <c r="F1508"/>
      <c r="G1508"/>
    </row>
    <row r="1509" spans="6:7">
      <c r="F1509"/>
      <c r="G1509"/>
    </row>
    <row r="1510" spans="6:7">
      <c r="F1510"/>
      <c r="G1510"/>
    </row>
    <row r="1511" spans="6:7">
      <c r="F1511"/>
      <c r="G1511"/>
    </row>
    <row r="1512" spans="6:7">
      <c r="F1512"/>
      <c r="G1512"/>
    </row>
    <row r="1513" spans="6:7">
      <c r="F1513"/>
      <c r="G1513"/>
    </row>
    <row r="1514" spans="6:7">
      <c r="F1514"/>
      <c r="G1514"/>
    </row>
    <row r="1515" spans="6:7">
      <c r="F1515"/>
      <c r="G1515"/>
    </row>
    <row r="1516" spans="6:7">
      <c r="F1516"/>
      <c r="G1516"/>
    </row>
    <row r="1517" spans="6:7">
      <c r="F1517"/>
      <c r="G1517"/>
    </row>
    <row r="1518" spans="6:7">
      <c r="F1518"/>
      <c r="G1518"/>
    </row>
    <row r="1519" spans="6:7">
      <c r="F1519"/>
      <c r="G1519"/>
    </row>
    <row r="1520" spans="6:7">
      <c r="F1520"/>
      <c r="G1520"/>
    </row>
    <row r="1521" spans="6:7">
      <c r="F1521"/>
      <c r="G1521"/>
    </row>
    <row r="1522" spans="6:7">
      <c r="F1522"/>
      <c r="G1522"/>
    </row>
    <row r="1523" spans="6:7">
      <c r="F1523"/>
      <c r="G1523"/>
    </row>
    <row r="1524" spans="6:7">
      <c r="F1524"/>
      <c r="G1524"/>
    </row>
    <row r="1525" spans="6:7">
      <c r="F1525"/>
      <c r="G1525"/>
    </row>
    <row r="1526" spans="6:7">
      <c r="F1526"/>
      <c r="G1526"/>
    </row>
    <row r="1527" spans="6:7">
      <c r="F1527"/>
      <c r="G1527"/>
    </row>
    <row r="1528" spans="6:7">
      <c r="F1528"/>
      <c r="G1528"/>
    </row>
    <row r="1529" spans="6:7">
      <c r="F1529"/>
      <c r="G1529"/>
    </row>
    <row r="1530" spans="6:7">
      <c r="F1530"/>
      <c r="G1530"/>
    </row>
    <row r="1531" spans="6:7">
      <c r="F1531"/>
      <c r="G1531"/>
    </row>
    <row r="1532" spans="6:7">
      <c r="F1532"/>
      <c r="G1532"/>
    </row>
    <row r="1533" spans="6:7">
      <c r="F1533"/>
      <c r="G1533"/>
    </row>
    <row r="1534" spans="6:7">
      <c r="F1534"/>
      <c r="G1534"/>
    </row>
    <row r="1535" spans="6:7">
      <c r="F1535"/>
      <c r="G1535"/>
    </row>
    <row r="1536" spans="6:7">
      <c r="F1536"/>
      <c r="G1536"/>
    </row>
    <row r="1537" spans="6:7">
      <c r="F1537"/>
      <c r="G1537"/>
    </row>
    <row r="1538" spans="6:7">
      <c r="F1538"/>
      <c r="G1538"/>
    </row>
    <row r="1539" spans="6:7">
      <c r="F1539"/>
      <c r="G1539"/>
    </row>
    <row r="1540" spans="6:7">
      <c r="F1540"/>
      <c r="G1540"/>
    </row>
    <row r="1541" spans="6:7">
      <c r="F1541"/>
      <c r="G1541"/>
    </row>
    <row r="1542" spans="6:7">
      <c r="F1542"/>
      <c r="G1542"/>
    </row>
    <row r="1543" spans="6:7">
      <c r="F1543"/>
      <c r="G1543"/>
    </row>
    <row r="1544" spans="6:7">
      <c r="F1544"/>
      <c r="G1544"/>
    </row>
    <row r="1545" spans="6:7">
      <c r="F1545"/>
      <c r="G1545"/>
    </row>
    <row r="1546" spans="6:7">
      <c r="F1546"/>
      <c r="G1546"/>
    </row>
    <row r="1547" spans="6:7">
      <c r="F1547"/>
      <c r="G1547"/>
    </row>
    <row r="1548" spans="6:7">
      <c r="F1548"/>
      <c r="G1548"/>
    </row>
    <row r="1549" spans="6:7">
      <c r="F1549"/>
      <c r="G1549"/>
    </row>
    <row r="1550" spans="6:7">
      <c r="F1550"/>
      <c r="G1550"/>
    </row>
    <row r="1551" spans="6:7">
      <c r="F1551"/>
      <c r="G1551"/>
    </row>
    <row r="1552" spans="6:7">
      <c r="F1552"/>
      <c r="G1552"/>
    </row>
    <row r="1553" spans="6:7">
      <c r="F1553"/>
      <c r="G1553"/>
    </row>
    <row r="1554" spans="6:7">
      <c r="F1554"/>
      <c r="G1554"/>
    </row>
    <row r="1555" spans="6:7">
      <c r="F1555"/>
      <c r="G1555"/>
    </row>
    <row r="1556" spans="6:7">
      <c r="F1556"/>
      <c r="G1556"/>
    </row>
    <row r="1557" spans="6:7">
      <c r="F1557"/>
      <c r="G1557"/>
    </row>
    <row r="1558" spans="6:7">
      <c r="F1558"/>
      <c r="G1558"/>
    </row>
    <row r="1559" spans="6:7">
      <c r="F1559"/>
      <c r="G1559"/>
    </row>
    <row r="1560" spans="6:7">
      <c r="F1560"/>
      <c r="G1560"/>
    </row>
    <row r="1561" spans="6:7">
      <c r="F1561"/>
      <c r="G1561"/>
    </row>
    <row r="1562" spans="6:7">
      <c r="F1562"/>
      <c r="G1562"/>
    </row>
    <row r="1563" spans="6:7">
      <c r="F1563"/>
      <c r="G1563"/>
    </row>
    <row r="1564" spans="6:7">
      <c r="F1564"/>
      <c r="G1564"/>
    </row>
    <row r="1565" spans="6:7">
      <c r="F1565"/>
      <c r="G1565"/>
    </row>
    <row r="1566" spans="6:7">
      <c r="F1566"/>
      <c r="G1566"/>
    </row>
    <row r="1567" spans="6:7">
      <c r="F1567"/>
      <c r="G1567"/>
    </row>
    <row r="1568" spans="6:7">
      <c r="F1568"/>
      <c r="G1568"/>
    </row>
    <row r="1569" spans="6:7">
      <c r="F1569"/>
      <c r="G1569"/>
    </row>
    <row r="1570" spans="6:7">
      <c r="F1570"/>
      <c r="G1570"/>
    </row>
    <row r="1571" spans="6:7">
      <c r="F1571"/>
      <c r="G1571"/>
    </row>
    <row r="1572" spans="6:7">
      <c r="F1572"/>
      <c r="G1572"/>
    </row>
    <row r="1573" spans="6:7">
      <c r="F1573"/>
      <c r="G1573"/>
    </row>
    <row r="1574" spans="6:7">
      <c r="F1574"/>
      <c r="G1574"/>
    </row>
    <row r="1575" spans="6:7">
      <c r="F1575"/>
      <c r="G1575"/>
    </row>
    <row r="1576" spans="6:7">
      <c r="F1576"/>
      <c r="G1576"/>
    </row>
    <row r="1577" spans="6:7">
      <c r="F1577"/>
      <c r="G1577"/>
    </row>
    <row r="1578" spans="6:7">
      <c r="F1578"/>
      <c r="G1578"/>
    </row>
    <row r="1579" spans="6:7">
      <c r="F1579"/>
      <c r="G1579"/>
    </row>
    <row r="1580" spans="6:7">
      <c r="F1580"/>
      <c r="G1580"/>
    </row>
    <row r="1581" spans="6:7">
      <c r="F1581"/>
      <c r="G1581"/>
    </row>
    <row r="1582" spans="6:7">
      <c r="F1582"/>
      <c r="G1582"/>
    </row>
    <row r="1583" spans="6:7">
      <c r="F1583"/>
      <c r="G1583"/>
    </row>
    <row r="1584" spans="6:7">
      <c r="F1584"/>
      <c r="G1584"/>
    </row>
    <row r="1585" spans="6:7">
      <c r="F1585"/>
      <c r="G1585"/>
    </row>
    <row r="1586" spans="6:7">
      <c r="F1586"/>
      <c r="G1586"/>
    </row>
    <row r="1587" spans="6:7">
      <c r="F1587"/>
      <c r="G1587"/>
    </row>
    <row r="1588" spans="6:7">
      <c r="F1588"/>
      <c r="G1588"/>
    </row>
    <row r="1589" spans="6:7">
      <c r="F1589"/>
      <c r="G1589"/>
    </row>
    <row r="1590" spans="6:7">
      <c r="F1590"/>
      <c r="G1590"/>
    </row>
    <row r="1591" spans="6:7">
      <c r="F1591"/>
      <c r="G1591"/>
    </row>
    <row r="1592" spans="6:7">
      <c r="F1592"/>
      <c r="G1592"/>
    </row>
    <row r="1593" spans="6:7">
      <c r="F1593"/>
      <c r="G1593"/>
    </row>
    <row r="1594" spans="6:7">
      <c r="F1594"/>
      <c r="G1594"/>
    </row>
    <row r="1595" spans="6:7">
      <c r="F1595"/>
      <c r="G1595"/>
    </row>
    <row r="1596" spans="6:7">
      <c r="F1596"/>
      <c r="G1596"/>
    </row>
    <row r="1597" spans="6:7">
      <c r="F1597"/>
      <c r="G1597"/>
    </row>
    <row r="1598" spans="6:7">
      <c r="F1598"/>
      <c r="G1598"/>
    </row>
    <row r="1599" spans="6:7">
      <c r="F1599"/>
      <c r="G1599"/>
    </row>
    <row r="1600" spans="6:7">
      <c r="F1600"/>
      <c r="G1600"/>
    </row>
    <row r="1601" spans="6:7">
      <c r="F1601"/>
      <c r="G1601"/>
    </row>
    <row r="1602" spans="6:7">
      <c r="F1602"/>
      <c r="G1602"/>
    </row>
    <row r="1603" spans="6:7">
      <c r="F1603"/>
      <c r="G1603"/>
    </row>
    <row r="1604" spans="6:7">
      <c r="F1604"/>
      <c r="G1604"/>
    </row>
    <row r="1605" spans="6:7">
      <c r="F1605"/>
      <c r="G1605"/>
    </row>
    <row r="1606" spans="6:7">
      <c r="F1606"/>
      <c r="G1606"/>
    </row>
    <row r="1607" spans="6:7">
      <c r="F1607"/>
      <c r="G1607"/>
    </row>
    <row r="1608" spans="6:7">
      <c r="F1608"/>
      <c r="G1608"/>
    </row>
    <row r="1609" spans="6:7">
      <c r="F1609"/>
      <c r="G1609"/>
    </row>
    <row r="1610" spans="6:7">
      <c r="F1610"/>
      <c r="G1610"/>
    </row>
    <row r="1611" spans="6:7">
      <c r="F1611"/>
      <c r="G1611"/>
    </row>
    <row r="1612" spans="6:7">
      <c r="F1612"/>
      <c r="G1612"/>
    </row>
    <row r="1613" spans="6:7">
      <c r="F1613"/>
      <c r="G1613"/>
    </row>
    <row r="1614" spans="6:7">
      <c r="F1614"/>
      <c r="G1614"/>
    </row>
    <row r="1615" spans="6:7">
      <c r="F1615"/>
      <c r="G1615"/>
    </row>
    <row r="1616" spans="6:7">
      <c r="F1616"/>
      <c r="G1616"/>
    </row>
    <row r="1617" spans="6:7">
      <c r="F1617"/>
      <c r="G1617"/>
    </row>
    <row r="1618" spans="6:7">
      <c r="F1618"/>
      <c r="G1618"/>
    </row>
    <row r="1619" spans="6:7">
      <c r="F1619"/>
      <c r="G1619"/>
    </row>
    <row r="1620" spans="6:7">
      <c r="F1620"/>
      <c r="G1620"/>
    </row>
    <row r="1621" spans="6:7">
      <c r="F1621"/>
      <c r="G1621"/>
    </row>
    <row r="1622" spans="6:7">
      <c r="F1622"/>
      <c r="G1622"/>
    </row>
    <row r="1623" spans="6:7">
      <c r="F1623"/>
      <c r="G1623"/>
    </row>
    <row r="1624" spans="6:7">
      <c r="F1624"/>
      <c r="G1624"/>
    </row>
    <row r="1625" spans="6:7">
      <c r="F1625"/>
      <c r="G1625"/>
    </row>
    <row r="1626" spans="6:7">
      <c r="F1626"/>
      <c r="G1626"/>
    </row>
    <row r="1627" spans="6:7">
      <c r="F1627"/>
      <c r="G1627"/>
    </row>
    <row r="1628" spans="6:7">
      <c r="F1628"/>
      <c r="G1628"/>
    </row>
    <row r="1629" spans="6:7">
      <c r="F1629"/>
      <c r="G1629"/>
    </row>
    <row r="1630" spans="6:7">
      <c r="F1630"/>
      <c r="G1630"/>
    </row>
    <row r="1631" spans="6:7">
      <c r="F1631"/>
      <c r="G1631"/>
    </row>
    <row r="1632" spans="6:7">
      <c r="F1632"/>
      <c r="G1632"/>
    </row>
    <row r="1633" spans="6:7">
      <c r="F1633"/>
      <c r="G1633"/>
    </row>
    <row r="1634" spans="6:7">
      <c r="F1634"/>
      <c r="G1634"/>
    </row>
    <row r="1635" spans="6:7">
      <c r="F1635"/>
      <c r="G1635"/>
    </row>
    <row r="1636" spans="6:7">
      <c r="F1636"/>
      <c r="G1636"/>
    </row>
    <row r="1637" spans="6:7">
      <c r="F1637"/>
      <c r="G1637"/>
    </row>
    <row r="1638" spans="6:7">
      <c r="F1638"/>
      <c r="G1638"/>
    </row>
    <row r="1639" spans="6:7">
      <c r="F1639"/>
      <c r="G1639"/>
    </row>
    <row r="1640" spans="6:7">
      <c r="F1640"/>
      <c r="G1640"/>
    </row>
    <row r="1641" spans="6:7">
      <c r="F1641"/>
      <c r="G1641"/>
    </row>
    <row r="1642" spans="6:7">
      <c r="F1642"/>
      <c r="G1642"/>
    </row>
    <row r="1643" spans="6:7">
      <c r="F1643"/>
      <c r="G1643"/>
    </row>
    <row r="1644" spans="6:7">
      <c r="F1644"/>
      <c r="G1644"/>
    </row>
    <row r="1645" spans="6:7">
      <c r="F1645"/>
      <c r="G1645"/>
    </row>
    <row r="1646" spans="6:7">
      <c r="F1646"/>
      <c r="G1646"/>
    </row>
    <row r="1647" spans="6:7">
      <c r="F1647"/>
      <c r="G1647"/>
    </row>
    <row r="1648" spans="6:7">
      <c r="F1648"/>
      <c r="G1648"/>
    </row>
    <row r="1649" spans="6:7">
      <c r="F1649"/>
      <c r="G1649"/>
    </row>
    <row r="1650" spans="6:7">
      <c r="F1650"/>
      <c r="G1650"/>
    </row>
    <row r="1651" spans="6:7">
      <c r="F1651"/>
      <c r="G1651"/>
    </row>
    <row r="1652" spans="6:7">
      <c r="F1652"/>
      <c r="G1652"/>
    </row>
    <row r="1653" spans="6:7">
      <c r="F1653"/>
      <c r="G1653"/>
    </row>
    <row r="1654" spans="6:7">
      <c r="F1654"/>
      <c r="G1654"/>
    </row>
    <row r="1655" spans="6:7">
      <c r="F1655"/>
      <c r="G1655"/>
    </row>
    <row r="1656" spans="6:7">
      <c r="F1656"/>
      <c r="G1656"/>
    </row>
    <row r="1657" spans="6:7">
      <c r="F1657"/>
      <c r="G1657"/>
    </row>
    <row r="1658" spans="6:7">
      <c r="F1658"/>
      <c r="G1658"/>
    </row>
    <row r="1659" spans="6:7">
      <c r="F1659"/>
      <c r="G1659"/>
    </row>
    <row r="1660" spans="6:7">
      <c r="F1660"/>
      <c r="G1660"/>
    </row>
    <row r="1661" spans="6:7">
      <c r="F1661"/>
      <c r="G1661"/>
    </row>
    <row r="1662" spans="6:7">
      <c r="F1662"/>
      <c r="G1662"/>
    </row>
    <row r="1663" spans="6:7">
      <c r="F1663"/>
      <c r="G1663"/>
    </row>
    <row r="1664" spans="6:7">
      <c r="F1664"/>
      <c r="G1664"/>
    </row>
    <row r="1665" spans="6:7">
      <c r="F1665"/>
      <c r="G1665"/>
    </row>
    <row r="1666" spans="6:7">
      <c r="F1666"/>
      <c r="G1666"/>
    </row>
    <row r="1667" spans="6:7">
      <c r="F1667"/>
      <c r="G1667"/>
    </row>
    <row r="1668" spans="6:7">
      <c r="F1668"/>
      <c r="G1668"/>
    </row>
    <row r="1669" spans="6:7">
      <c r="F1669"/>
      <c r="G1669"/>
    </row>
    <row r="1670" spans="6:7">
      <c r="F1670"/>
      <c r="G1670"/>
    </row>
    <row r="1671" spans="6:7">
      <c r="F1671"/>
      <c r="G1671"/>
    </row>
    <row r="1672" spans="6:7">
      <c r="F1672"/>
      <c r="G1672"/>
    </row>
    <row r="1673" spans="6:7">
      <c r="F1673"/>
      <c r="G1673"/>
    </row>
    <row r="1674" spans="6:7">
      <c r="F1674"/>
      <c r="G1674"/>
    </row>
    <row r="1675" spans="6:7">
      <c r="F1675"/>
      <c r="G1675"/>
    </row>
    <row r="1676" spans="6:7">
      <c r="F1676"/>
      <c r="G1676"/>
    </row>
    <row r="1677" spans="6:7">
      <c r="F1677"/>
      <c r="G1677"/>
    </row>
    <row r="1678" spans="6:7">
      <c r="F1678"/>
      <c r="G1678"/>
    </row>
    <row r="1679" spans="6:7">
      <c r="F1679"/>
      <c r="G1679"/>
    </row>
    <row r="1680" spans="6:7">
      <c r="F1680"/>
      <c r="G1680"/>
    </row>
    <row r="1681" spans="6:7">
      <c r="F1681"/>
      <c r="G1681"/>
    </row>
    <row r="1682" spans="6:7">
      <c r="F1682"/>
      <c r="G1682"/>
    </row>
    <row r="1683" spans="6:7">
      <c r="F1683"/>
      <c r="G1683"/>
    </row>
    <row r="1684" spans="6:7">
      <c r="F1684"/>
      <c r="G1684"/>
    </row>
    <row r="1685" spans="6:7">
      <c r="F1685"/>
      <c r="G1685"/>
    </row>
    <row r="1686" spans="6:7">
      <c r="F1686"/>
      <c r="G1686"/>
    </row>
    <row r="1687" spans="6:7">
      <c r="F1687"/>
      <c r="G1687"/>
    </row>
    <row r="1688" spans="6:7">
      <c r="F1688"/>
      <c r="G1688"/>
    </row>
    <row r="1689" spans="6:7">
      <c r="F1689"/>
      <c r="G1689"/>
    </row>
    <row r="1690" spans="6:7">
      <c r="F1690"/>
      <c r="G1690"/>
    </row>
    <row r="1691" spans="6:7">
      <c r="F1691"/>
      <c r="G1691"/>
    </row>
    <row r="1692" spans="6:7">
      <c r="F1692"/>
      <c r="G1692"/>
    </row>
    <row r="1693" spans="6:7">
      <c r="F1693"/>
      <c r="G1693"/>
    </row>
    <row r="1694" spans="6:7">
      <c r="F1694"/>
      <c r="G1694"/>
    </row>
    <row r="1695" spans="6:7">
      <c r="F1695"/>
      <c r="G1695"/>
    </row>
    <row r="1696" spans="6:7">
      <c r="F1696"/>
      <c r="G1696"/>
    </row>
    <row r="1697" spans="6:7">
      <c r="F1697"/>
      <c r="G1697"/>
    </row>
    <row r="1698" spans="6:7">
      <c r="F1698"/>
      <c r="G1698"/>
    </row>
    <row r="1699" spans="6:7">
      <c r="F1699"/>
      <c r="G1699"/>
    </row>
    <row r="1700" spans="6:7">
      <c r="F1700"/>
      <c r="G1700"/>
    </row>
    <row r="1701" spans="6:7">
      <c r="F1701"/>
      <c r="G1701"/>
    </row>
    <row r="1702" spans="6:7">
      <c r="F1702"/>
      <c r="G1702"/>
    </row>
    <row r="1703" spans="6:7">
      <c r="F1703"/>
      <c r="G1703"/>
    </row>
    <row r="1704" spans="6:7">
      <c r="F1704"/>
      <c r="G1704"/>
    </row>
    <row r="1705" spans="6:7">
      <c r="F1705"/>
      <c r="G1705"/>
    </row>
    <row r="1706" spans="6:7">
      <c r="F1706"/>
      <c r="G1706"/>
    </row>
    <row r="1707" spans="6:7">
      <c r="F1707"/>
      <c r="G1707"/>
    </row>
    <row r="1708" spans="6:7">
      <c r="F1708"/>
      <c r="G1708"/>
    </row>
    <row r="1709" spans="6:7">
      <c r="F1709"/>
      <c r="G1709"/>
    </row>
    <row r="1710" spans="6:7">
      <c r="F1710"/>
      <c r="G1710"/>
    </row>
    <row r="1711" spans="6:7">
      <c r="F1711"/>
      <c r="G1711"/>
    </row>
    <row r="1712" spans="6:7">
      <c r="F1712"/>
      <c r="G1712"/>
    </row>
    <row r="1713" spans="6:7">
      <c r="F1713"/>
      <c r="G1713"/>
    </row>
    <row r="1714" spans="6:7">
      <c r="F1714"/>
      <c r="G1714"/>
    </row>
    <row r="1715" spans="6:7">
      <c r="F1715"/>
      <c r="G1715"/>
    </row>
    <row r="1716" spans="6:7">
      <c r="F1716"/>
      <c r="G1716"/>
    </row>
    <row r="1717" spans="6:7">
      <c r="F1717"/>
      <c r="G1717"/>
    </row>
    <row r="1718" spans="6:7">
      <c r="F1718"/>
      <c r="G1718"/>
    </row>
    <row r="1719" spans="6:7">
      <c r="F1719"/>
      <c r="G1719"/>
    </row>
    <row r="1720" spans="6:7">
      <c r="F1720"/>
      <c r="G1720"/>
    </row>
    <row r="1721" spans="6:7">
      <c r="F1721"/>
      <c r="G1721"/>
    </row>
    <row r="1722" spans="6:7">
      <c r="F1722"/>
      <c r="G1722"/>
    </row>
    <row r="1723" spans="6:7">
      <c r="F1723"/>
      <c r="G1723"/>
    </row>
    <row r="1724" spans="6:7">
      <c r="F1724"/>
      <c r="G1724"/>
    </row>
    <row r="1725" spans="6:7">
      <c r="F1725"/>
      <c r="G1725"/>
    </row>
    <row r="1726" spans="6:7">
      <c r="F1726"/>
      <c r="G1726"/>
    </row>
    <row r="1727" spans="6:7">
      <c r="F1727"/>
      <c r="G1727"/>
    </row>
    <row r="1728" spans="6:7">
      <c r="F1728"/>
      <c r="G1728"/>
    </row>
    <row r="1729" spans="6:7">
      <c r="F1729"/>
      <c r="G1729"/>
    </row>
    <row r="1730" spans="6:7">
      <c r="F1730"/>
      <c r="G1730"/>
    </row>
    <row r="1731" spans="6:7">
      <c r="F1731"/>
      <c r="G1731"/>
    </row>
    <row r="1732" spans="6:7">
      <c r="F1732"/>
      <c r="G1732"/>
    </row>
    <row r="1733" spans="6:7">
      <c r="F1733"/>
      <c r="G1733"/>
    </row>
    <row r="1734" spans="6:7">
      <c r="F1734"/>
      <c r="G1734"/>
    </row>
    <row r="1735" spans="6:7">
      <c r="F1735"/>
      <c r="G1735"/>
    </row>
    <row r="1736" spans="6:7">
      <c r="F1736"/>
      <c r="G1736"/>
    </row>
    <row r="1737" spans="6:7">
      <c r="F1737"/>
      <c r="G1737"/>
    </row>
    <row r="1738" spans="6:7">
      <c r="F1738"/>
      <c r="G1738"/>
    </row>
    <row r="1739" spans="6:7">
      <c r="F1739"/>
      <c r="G1739"/>
    </row>
    <row r="1740" spans="6:7">
      <c r="F1740"/>
      <c r="G1740"/>
    </row>
    <row r="1741" spans="6:7">
      <c r="F1741"/>
      <c r="G1741"/>
    </row>
    <row r="1742" spans="6:7">
      <c r="F1742"/>
      <c r="G1742"/>
    </row>
    <row r="1743" spans="6:7">
      <c r="F1743"/>
      <c r="G1743"/>
    </row>
    <row r="1744" spans="6:7">
      <c r="F1744"/>
      <c r="G1744"/>
    </row>
    <row r="1745" spans="6:7">
      <c r="F1745"/>
      <c r="G1745"/>
    </row>
    <row r="1746" spans="6:7">
      <c r="F1746"/>
      <c r="G1746"/>
    </row>
    <row r="1747" spans="6:7">
      <c r="F1747"/>
      <c r="G1747"/>
    </row>
    <row r="1748" spans="6:7">
      <c r="F1748"/>
      <c r="G1748"/>
    </row>
    <row r="1749" spans="6:7">
      <c r="F1749"/>
      <c r="G1749"/>
    </row>
    <row r="1750" spans="6:7">
      <c r="F1750"/>
      <c r="G1750"/>
    </row>
    <row r="1751" spans="6:7">
      <c r="F1751"/>
      <c r="G1751"/>
    </row>
    <row r="1752" spans="6:7">
      <c r="F1752"/>
      <c r="G1752"/>
    </row>
    <row r="1753" spans="6:7">
      <c r="F1753"/>
      <c r="G1753"/>
    </row>
    <row r="1754" spans="6:7">
      <c r="F1754"/>
      <c r="G1754"/>
    </row>
    <row r="1755" spans="6:7">
      <c r="F1755"/>
      <c r="G1755"/>
    </row>
    <row r="1756" spans="6:7">
      <c r="F1756"/>
      <c r="G1756"/>
    </row>
    <row r="1757" spans="6:7">
      <c r="F1757"/>
      <c r="G1757"/>
    </row>
    <row r="1758" spans="6:7">
      <c r="F1758"/>
      <c r="G1758"/>
    </row>
    <row r="1759" spans="6:7">
      <c r="F1759"/>
      <c r="G1759"/>
    </row>
    <row r="1760" spans="6:7">
      <c r="F1760"/>
      <c r="G1760"/>
    </row>
    <row r="1761" spans="6:7">
      <c r="F1761"/>
      <c r="G1761"/>
    </row>
    <row r="1762" spans="6:7">
      <c r="F1762"/>
      <c r="G1762"/>
    </row>
    <row r="1763" spans="6:7">
      <c r="F1763"/>
      <c r="G1763"/>
    </row>
    <row r="1764" spans="6:7">
      <c r="F1764"/>
      <c r="G1764"/>
    </row>
    <row r="1765" spans="6:7">
      <c r="F1765"/>
      <c r="G1765"/>
    </row>
    <row r="1766" spans="6:7">
      <c r="F1766"/>
      <c r="G1766"/>
    </row>
    <row r="1767" spans="6:7">
      <c r="F1767"/>
      <c r="G1767"/>
    </row>
    <row r="1768" spans="6:7">
      <c r="F1768"/>
      <c r="G1768"/>
    </row>
    <row r="1769" spans="6:7">
      <c r="F1769"/>
      <c r="G1769"/>
    </row>
    <row r="1770" spans="6:7">
      <c r="F1770"/>
      <c r="G1770"/>
    </row>
    <row r="1771" spans="6:7">
      <c r="F1771"/>
      <c r="G1771"/>
    </row>
    <row r="1772" spans="6:7">
      <c r="F1772"/>
      <c r="G1772"/>
    </row>
    <row r="1773" spans="6:7">
      <c r="F1773"/>
      <c r="G1773"/>
    </row>
    <row r="1774" spans="6:7">
      <c r="F1774"/>
      <c r="G1774"/>
    </row>
    <row r="1775" spans="6:7">
      <c r="F1775"/>
      <c r="G1775"/>
    </row>
    <row r="1776" spans="6:7">
      <c r="F1776"/>
      <c r="G1776"/>
    </row>
    <row r="1777" spans="6:7">
      <c r="F1777"/>
      <c r="G1777"/>
    </row>
    <row r="1778" spans="6:7">
      <c r="F1778"/>
      <c r="G1778"/>
    </row>
    <row r="1779" spans="6:7">
      <c r="F1779"/>
      <c r="G1779"/>
    </row>
    <row r="1780" spans="6:7">
      <c r="F1780"/>
      <c r="G1780"/>
    </row>
    <row r="1781" spans="6:7">
      <c r="F1781"/>
      <c r="G1781"/>
    </row>
    <row r="1782" spans="6:7">
      <c r="F1782"/>
      <c r="G1782"/>
    </row>
  </sheetData>
  <phoneticPr fontId="4"/>
  <dataValidations count="1">
    <dataValidation allowBlank="1" showInputMessage="1" showErrorMessage="1" sqref="F33:R39 B33:B39"/>
  </dataValidation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9" r:id="rId4" name="Slider rot x">
              <controlPr defaultSize="0" autoPict="0">
                <anchor moveWithCells="1">
                  <from>
                    <xdr:col>2</xdr:col>
                    <xdr:colOff>31750</xdr:colOff>
                    <xdr:row>9</xdr:row>
                    <xdr:rowOff>12700</xdr:rowOff>
                  </from>
                  <to>
                    <xdr:col>5</xdr:col>
                    <xdr:colOff>952500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5" name="Slider rot y">
              <controlPr defaultSize="0" autoPict="0">
                <anchor moveWithCells="1">
                  <from>
                    <xdr:col>2</xdr:col>
                    <xdr:colOff>31750</xdr:colOff>
                    <xdr:row>10</xdr:row>
                    <xdr:rowOff>0</xdr:rowOff>
                  </from>
                  <to>
                    <xdr:col>5</xdr:col>
                    <xdr:colOff>952500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6" name="Slider rot z">
              <controlPr defaultSize="0" autoPict="0">
                <anchor moveWithCells="1">
                  <from>
                    <xdr:col>2</xdr:col>
                    <xdr:colOff>31750</xdr:colOff>
                    <xdr:row>11</xdr:row>
                    <xdr:rowOff>0</xdr:rowOff>
                  </from>
                  <to>
                    <xdr:col>5</xdr:col>
                    <xdr:colOff>952500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7" name="Slider proj x">
              <controlPr defaultSize="0" autoPict="0">
                <anchor moveWithCells="1">
                  <from>
                    <xdr:col>2</xdr:col>
                    <xdr:colOff>31750</xdr:colOff>
                    <xdr:row>15</xdr:row>
                    <xdr:rowOff>0</xdr:rowOff>
                  </from>
                  <to>
                    <xdr:col>5</xdr:col>
                    <xdr:colOff>952500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8" name="Slider proj y">
              <controlPr defaultSize="0" autoPict="0">
                <anchor moveWithCells="1">
                  <from>
                    <xdr:col>2</xdr:col>
                    <xdr:colOff>31750</xdr:colOff>
                    <xdr:row>16</xdr:row>
                    <xdr:rowOff>0</xdr:rowOff>
                  </from>
                  <to>
                    <xdr:col>5</xdr:col>
                    <xdr:colOff>952500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9" name="Slider proj z">
              <controlPr defaultSize="0" autoPict="0">
                <anchor moveWithCells="1">
                  <from>
                    <xdr:col>2</xdr:col>
                    <xdr:colOff>31750</xdr:colOff>
                    <xdr:row>17</xdr:row>
                    <xdr:rowOff>0</xdr:rowOff>
                  </from>
                  <to>
                    <xdr:col>5</xdr:col>
                    <xdr:colOff>952500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10" name="Slider zoom">
              <controlPr defaultSize="0" autoPict="0">
                <anchor moveWithCells="1">
                  <from>
                    <xdr:col>2</xdr:col>
                    <xdr:colOff>31750</xdr:colOff>
                    <xdr:row>19</xdr:row>
                    <xdr:rowOff>12700</xdr:rowOff>
                  </from>
                  <to>
                    <xdr:col>5</xdr:col>
                    <xdr:colOff>952500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" r:id="rId11" name="Slider shift x">
              <controlPr defaultSize="0" autoPict="0">
                <anchor moveWithCells="1">
                  <from>
                    <xdr:col>2</xdr:col>
                    <xdr:colOff>31750</xdr:colOff>
                    <xdr:row>20</xdr:row>
                    <xdr:rowOff>0</xdr:rowOff>
                  </from>
                  <to>
                    <xdr:col>5</xdr:col>
                    <xdr:colOff>952500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" r:id="rId12" name="Slider shift y">
              <controlPr defaultSize="0" autoPict="0">
                <anchor moveWithCells="1">
                  <from>
                    <xdr:col>2</xdr:col>
                    <xdr:colOff>31750</xdr:colOff>
                    <xdr:row>21</xdr:row>
                    <xdr:rowOff>12700</xdr:rowOff>
                  </from>
                  <to>
                    <xdr:col>5</xdr:col>
                    <xdr:colOff>952500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3" name="ToscaleSwitch">
              <controlPr defaultSize="0" autoFill="0" autoLine="0" autoPict="0">
                <anchor moveWithCells="1">
                  <from>
                    <xdr:col>1</xdr:col>
                    <xdr:colOff>717550</xdr:colOff>
                    <xdr:row>21</xdr:row>
                    <xdr:rowOff>184150</xdr:rowOff>
                  </from>
                  <to>
                    <xdr:col>3</xdr:col>
                    <xdr:colOff>260350</xdr:colOff>
                    <xdr:row>23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14" name="ZdropLines">
              <controlPr defaultSize="0" autoFill="0" autoLine="0" autoPict="0">
                <anchor moveWithCells="1">
                  <from>
                    <xdr:col>1</xdr:col>
                    <xdr:colOff>717550</xdr:colOff>
                    <xdr:row>17</xdr:row>
                    <xdr:rowOff>190500</xdr:rowOff>
                  </from>
                  <to>
                    <xdr:col>2</xdr:col>
                    <xdr:colOff>908050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15"/>
  </tableParts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3</vt:i4>
      </vt:variant>
    </vt:vector>
  </HeadingPairs>
  <TitlesOfParts>
    <vt:vector size="4" baseType="lpstr">
      <vt:lpstr>plot</vt:lpstr>
      <vt:lpstr>firstLabel</vt:lpstr>
      <vt:lpstr>firstZ</vt:lpstr>
      <vt:lpstr>NrPoints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gd</dc:creator>
  <cp:lastModifiedBy>陳柏均</cp:lastModifiedBy>
  <dcterms:created xsi:type="dcterms:W3CDTF">2012-09-19T17:34:13Z</dcterms:created>
  <dcterms:modified xsi:type="dcterms:W3CDTF">2019-06-20T09:48:20Z</dcterms:modified>
</cp:coreProperties>
</file>